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ıl Kullanılır" sheetId="1" state="visible" r:id="rId1"/>
    <sheet name="Deneme Girişi" sheetId="2" state="visible" r:id="rId2"/>
    <sheet name="Konu Takibi" sheetId="3" state="visible" r:id="rId3"/>
    <sheet name="Analiz" sheetId="4" state="visible" r:id="rId4"/>
    <sheet name="Ayarlar" sheetId="5" state="visible" r:id="rId5"/>
  </sheets>
  <definedNames>
    <definedName name="_xlnm._FilterDatabase" localSheetId="2" hidden="1">'Konu Takibi'!$A$3:$J$303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+0.0%;-0.0%;0.0%"/>
    <numFmt numFmtId="167" formatCode="0.0"/>
  </numFmts>
  <fonts count="23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000FF"/>
    </font>
    <font>
      <name val="Arial"/>
      <b val="1"/>
    </font>
    <font>
      <name val="Arial"/>
      <b val="1"/>
      <color rgb="000000FF"/>
    </font>
    <font>
      <name val="Arial"/>
    </font>
    <font>
      <name val="Arial"/>
      <b val="1"/>
      <color rgb="001F4E5F"/>
      <sz val="12"/>
    </font>
    <font>
      <name val="Arial"/>
      <color rgb="00000000"/>
    </font>
    <font>
      <name val="Arial"/>
      <color rgb="00888888"/>
    </font>
    <font>
      <name val="Arial"/>
      <i val="1"/>
      <color rgb="000000FF"/>
      <sz val="9"/>
    </font>
    <font>
      <name val="Arial"/>
      <b val="1"/>
      <color rgb="005B3F8C"/>
    </font>
    <font>
      <name val="Arial"/>
      <b val="1"/>
      <color rgb="00FFFFFF"/>
      <sz val="9"/>
    </font>
    <font>
      <name val="Arial"/>
      <b val="1"/>
      <color rgb="001F4E5F"/>
      <sz val="14"/>
    </font>
    <font>
      <name val="Arial"/>
      <b val="1"/>
      <color rgb="001F4E5F"/>
      <sz val="11"/>
    </font>
    <font>
      <name val="Arial"/>
      <b val="1"/>
      <color rgb="00FFFFFF"/>
    </font>
    <font>
      <name val="Arial"/>
      <b val="1"/>
      <color rgb="005B3F8C"/>
      <sz val="12"/>
    </font>
    <font>
      <name val="Arial"/>
      <b val="1"/>
      <color rgb="00000000"/>
    </font>
    <font>
      <name val="Arial"/>
      <b val="1"/>
      <color rgb="000000FF"/>
      <sz val="12"/>
    </font>
    <font>
      <name val="Arial"/>
      <i val="1"/>
      <color rgb="00666666"/>
    </font>
    <font>
      <name val="Arial"/>
      <sz val="9"/>
    </font>
    <font>
      <name val="Arial"/>
      <b val="1"/>
      <color rgb="001F4E5F"/>
    </font>
  </fonts>
  <fills count="11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FF8DC"/>
        <bgColor rgb="00FFF8DC"/>
      </patternFill>
    </fill>
    <fill>
      <patternFill patternType="solid">
        <fgColor rgb="002E7D8C"/>
        <bgColor rgb="002E7D8C"/>
      </patternFill>
    </fill>
    <fill>
      <patternFill patternType="solid">
        <fgColor rgb="008B3A3A"/>
        <bgColor rgb="008B3A3A"/>
      </patternFill>
    </fill>
    <fill>
      <patternFill patternType="solid">
        <fgColor rgb="00FBFBF3"/>
        <bgColor rgb="00FBFBF3"/>
      </patternFill>
    </fill>
    <fill>
      <patternFill patternType="solid">
        <fgColor rgb="00E3F1F3"/>
        <bgColor rgb="00E3F1F3"/>
      </patternFill>
    </fill>
    <fill>
      <patternFill patternType="solid">
        <fgColor rgb="005B3F8C"/>
        <bgColor rgb="005B3F8C"/>
      </patternFill>
    </fill>
    <fill>
      <patternFill patternType="solid">
        <fgColor rgb="00EEE8F7"/>
        <bgColor rgb="00EEE8F7"/>
      </patternFill>
    </fill>
    <fill>
      <patternFill patternType="solid">
        <fgColor rgb="00F7F7F7"/>
        <bgColor rgb="00F7F7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2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4" fillId="3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/>
    </xf>
    <xf numFmtId="164" fontId="4" fillId="3" borderId="1" pivotButton="0" quotePrefix="0" xfId="0"/>
    <xf numFmtId="0" fontId="4" fillId="3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2" fontId="5" fillId="7" borderId="1" pivotButton="0" quotePrefix="0" xfId="0"/>
    <xf numFmtId="0" fontId="7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/>
    </xf>
    <xf numFmtId="167" fontId="7" fillId="0" borderId="1" applyAlignment="1" pivotButton="0" quotePrefix="0" xfId="0">
      <alignment horizontal="center"/>
    </xf>
    <xf numFmtId="1" fontId="12" fillId="9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3" fillId="4" borderId="1" applyAlignment="1" pivotButton="0" quotePrefix="0" xfId="0">
      <alignment horizontal="center" vertical="center" wrapText="1"/>
    </xf>
    <xf numFmtId="1" fontId="14" fillId="7" borderId="1" applyAlignment="1" pivotButton="0" quotePrefix="0" xfId="0">
      <alignment horizontal="center" vertical="center" wrapText="1"/>
    </xf>
    <xf numFmtId="165" fontId="14" fillId="7" borderId="1" applyAlignment="1" pivotButton="0" quotePrefix="0" xfId="0">
      <alignment horizontal="center" vertical="center" wrapText="1"/>
    </xf>
    <xf numFmtId="2" fontId="14" fillId="7" borderId="1" applyAlignment="1" pivotButton="0" quotePrefix="0" xfId="0">
      <alignment horizontal="center" vertical="center" wrapText="1"/>
    </xf>
    <xf numFmtId="166" fontId="14" fillId="7" borderId="1" applyAlignment="1" pivotButton="0" quotePrefix="0" xfId="0">
      <alignment horizontal="center" vertical="center" wrapText="1"/>
    </xf>
    <xf numFmtId="49" fontId="15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1" fontId="5" fillId="0" borderId="1" applyAlignment="1" pivotButton="0" quotePrefix="0" xfId="0">
      <alignment horizontal="left"/>
    </xf>
    <xf numFmtId="1" fontId="7" fillId="0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9" fontId="7" fillId="0" borderId="1" applyAlignment="1" pivotButton="0" quotePrefix="0" xfId="0">
      <alignment horizontal="center"/>
    </xf>
    <xf numFmtId="1" fontId="5" fillId="10" borderId="1" applyAlignment="1" pivotButton="0" quotePrefix="0" xfId="0">
      <alignment horizontal="left"/>
    </xf>
    <xf numFmtId="1" fontId="7" fillId="10" borderId="1" applyAlignment="1" pivotButton="0" quotePrefix="0" xfId="0">
      <alignment horizontal="center"/>
    </xf>
    <xf numFmtId="167" fontId="7" fillId="10" borderId="1" applyAlignment="1" pivotButton="0" quotePrefix="0" xfId="0">
      <alignment horizontal="center"/>
    </xf>
    <xf numFmtId="167" fontId="5" fillId="10" borderId="1" applyAlignment="1" pivotButton="0" quotePrefix="0" xfId="0">
      <alignment horizontal="center"/>
    </xf>
    <xf numFmtId="9" fontId="7" fillId="10" borderId="1" applyAlignment="1" pivotButton="0" quotePrefix="0" xfId="0">
      <alignment horizontal="center"/>
    </xf>
    <xf numFmtId="1" fontId="16" fillId="2" borderId="1" applyAlignment="1" pivotButton="0" quotePrefix="0" xfId="0">
      <alignment horizontal="left"/>
    </xf>
    <xf numFmtId="1" fontId="16" fillId="2" borderId="1" applyAlignment="1" pivotButton="0" quotePrefix="0" xfId="0">
      <alignment horizontal="center"/>
    </xf>
    <xf numFmtId="167" fontId="16" fillId="2" borderId="1" applyAlignment="1" pivotButton="0" quotePrefix="0" xfId="0">
      <alignment horizontal="center"/>
    </xf>
    <xf numFmtId="9" fontId="16" fillId="2" borderId="1" applyAlignment="1" pivotButton="0" quotePrefix="0" xfId="0">
      <alignment horizontal="center"/>
    </xf>
    <xf numFmtId="0" fontId="17" fillId="0" borderId="0" pivotButton="0" quotePrefix="0" xfId="0"/>
    <xf numFmtId="0" fontId="5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center"/>
    </xf>
    <xf numFmtId="1" fontId="18" fillId="0" borderId="1" applyAlignment="1" pivotButton="0" quotePrefix="0" xfId="0">
      <alignment horizontal="center"/>
    </xf>
    <xf numFmtId="0" fontId="16" fillId="8" borderId="1" applyAlignment="1" pivotButton="0" quotePrefix="0" xfId="0">
      <alignment horizontal="left"/>
    </xf>
    <xf numFmtId="0" fontId="16" fillId="8" borderId="1" applyAlignment="1" pivotButton="0" quotePrefix="0" xfId="0">
      <alignment horizontal="center"/>
    </xf>
    <xf numFmtId="1" fontId="16" fillId="8" borderId="1" applyAlignment="1" pivotButton="0" quotePrefix="0" xfId="0">
      <alignment horizontal="center"/>
    </xf>
    <xf numFmtId="0" fontId="16" fillId="2" borderId="1" applyAlignment="1" pivotButton="0" quotePrefix="0" xfId="0">
      <alignment horizontal="left"/>
    </xf>
    <xf numFmtId="0" fontId="16" fillId="2" borderId="1" applyAlignment="1" pivotButton="0" quotePrefix="0" xfId="0">
      <alignment horizontal="center"/>
    </xf>
    <xf numFmtId="0" fontId="19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0" fillId="0" borderId="0" pivotButton="0" quotePrefix="0" xfId="0"/>
    <xf numFmtId="0" fontId="21" fillId="0" borderId="1" applyAlignment="1" pivotButton="0" quotePrefix="0" xfId="0">
      <alignment horizontal="center"/>
    </xf>
    <xf numFmtId="2" fontId="21" fillId="0" borderId="1" applyAlignment="1" pivotButton="0" quotePrefix="0" xfId="0">
      <alignment horizontal="center"/>
    </xf>
    <xf numFmtId="9" fontId="21" fillId="0" borderId="1" applyAlignment="1" pivotButton="0" quotePrefix="0" xfId="0">
      <alignment horizontal="center"/>
    </xf>
    <xf numFmtId="1" fontId="21" fillId="0" borderId="1" applyAlignment="1" pivotButton="0" quotePrefix="0" xfId="0">
      <alignment horizontal="center"/>
    </xf>
    <xf numFmtId="0" fontId="7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7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dxfs count="11">
    <dxf>
      <fill>
        <patternFill patternType="solid">
          <fgColor rgb="00F4B6B6"/>
          <bgColor rgb="00F4B6B6"/>
        </patternFill>
      </fill>
    </dxf>
    <dxf>
      <font>
        <name val="Arial"/>
        <b val="1"/>
        <color rgb="001E7B34"/>
      </font>
    </dxf>
    <dxf>
      <font>
        <name val="Arial"/>
        <b val="1"/>
        <color rgb="00C00000"/>
      </font>
    </dxf>
    <dxf>
      <font>
        <name val="Arial"/>
        <b val="1"/>
        <color rgb="009C0006"/>
      </font>
      <fill>
        <patternFill patternType="solid">
          <fgColor rgb="00F4B6B6"/>
          <bgColor rgb="00F4B6B6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E2EFDA"/>
          <bgColor rgb="00E2EFDA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Genel Başarı % Gelişimi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'Analiz'!E46</f>
            </strRef>
          </tx>
          <spPr>
            <a:ln>
              <a:prstDash val="solid"/>
            </a:ln>
          </spPr>
          <cat>
            <numRef>
              <f>'Analiz'!$A$47:$A$86</f>
            </numRef>
          </cat>
          <val>
            <numRef>
              <f>'Analiz'!$E$47:$E$86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Deneme 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Başarı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Ders Bazında Başarı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'Analiz'!L7</f>
            </strRef>
          </tx>
          <spPr>
            <a:ln>
              <a:prstDash val="solid"/>
            </a:ln>
          </spPr>
          <cat>
            <numRef>
              <f>'Analiz'!$A$8:$A$15</f>
            </numRef>
          </cat>
          <val>
            <numRef>
              <f>'Analiz'!$L$8:$L$15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Seçili Dersin Başarı % Gelişimi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'Analiz'!D46</f>
            </strRef>
          </tx>
          <spPr>
            <a:ln>
              <a:prstDash val="solid"/>
            </a:ln>
          </spPr>
          <cat>
            <numRef>
              <f>'Analiz'!$A$47:$A$86</f>
            </numRef>
          </cat>
          <val>
            <numRef>
              <f>'Analiz'!$D$47:$D$86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Deneme 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Başarı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Tahmini TYT Puanı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'Analiz'!F46</f>
            </strRef>
          </tx>
          <spPr>
            <a:ln>
              <a:prstDash val="solid"/>
            </a:ln>
          </spPr>
          <cat>
            <numRef>
              <f>'Analiz'!$A$47:$A$86</f>
            </numRef>
          </cat>
          <val>
            <numRef>
              <f>'Analiz'!$F$47:$F$86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Deneme 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00"/>
          <min val="10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Puan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Hataların Nedenleri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'Analiz'!$B$32:$H$32</f>
            </numRef>
          </cat>
          <val>
            <numRef>
              <f>'Analiz'!$B$41:$H$41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Not</author>
  </authors>
  <commentList>
    <comment ref="AQ3" authorId="0" shapeId="0">
      <text>
        <t>Her TYT testi için: o teste sayılan derslerdeki başarı yüzdesi × TYT'deki soru sayısı. Puan = taban puan + Σ(net × katsayı). Eşleme ve katsayılar Ayarlar sayfasında. Kaba bir tahmindir.</t>
      </text>
    </comment>
    <comment ref="F4" authorId="0" shapeId="0">
      <text>
        <t>Bu denemede soru sayısı farklıysa yaz. Boş bırakırsan Ayarlar'daki varsayılan sayı kullanılır.</t>
      </text>
    </comment>
    <comment ref="J4" authorId="0" shapeId="0">
      <text>
        <t>Bu denemede soru sayısı farklıysa yaz. Boş bırakırsan Ayarlar'daki varsayılan sayı kullanılır.</t>
      </text>
    </comment>
    <comment ref="N4" authorId="0" shapeId="0">
      <text>
        <t>Bu denemede soru sayısı farklıysa yaz. Boş bırakırsan Ayarlar'daki varsayılan sayı kullanılır.</t>
      </text>
    </comment>
    <comment ref="R4" authorId="0" shapeId="0">
      <text>
        <t>Bu denemede soru sayısı farklıysa yaz. Boş bırakırsan Ayarlar'daki varsayılan sayı kullanılır.</t>
      </text>
    </comment>
    <comment ref="V4" authorId="0" shapeId="0">
      <text>
        <t>Bu denemede soru sayısı farklıysa yaz. Boş bırakırsan Ayarlar'daki varsayılan sayı kullanılır.</t>
      </text>
    </comment>
    <comment ref="Z4" authorId="0" shapeId="0">
      <text>
        <t>Bu denemede soru sayısı farklıysa yaz. Boş bırakırsan Ayarlar'daki varsayılan sayı kullanılır.</t>
      </text>
    </comment>
    <comment ref="AD4" authorId="0" shapeId="0">
      <text>
        <t>Bu denemede soru sayısı farklıysa yaz. Boş bırakırsan Ayarlar'daki varsayılan sayı kullanılır.</t>
      </text>
    </comment>
    <comment ref="AH4" authorId="0" shapeId="0">
      <text>
        <t>Bu denemede soru sayısı farklıysa yaz. Boş bırakırsan Ayarlar'daki varsayılan sayı kullanılır.</t>
      </text>
    </comment>
  </commentList>
</comments>
</file>

<file path=xl/comments/comment2.xml><?xml version="1.0" encoding="utf-8"?>
<comments xmlns="http://schemas.openxmlformats.org/spreadsheetml/2006/main">
  <authors>
    <author>Not</author>
  </authors>
  <commentList>
    <comment ref="A3" authorId="0" shapeId="0">
      <text>
        <t>Ders adlarını ve soru sayılarını kendi deneme yayınına göre düzenle. Varsayılan değerler tipik bir 9. sınıf denemesine göre tahmini girilmiştir.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64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18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45</row>
      <rowOff>0</rowOff>
    </from>
    <ext cx="72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18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15</col>
      <colOff>0</colOff>
      <row>30</row>
      <rowOff>0</rowOff>
    </from>
    <ext cx="50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9. Sınıf Deneme Takip Dosyası</t>
        </is>
      </c>
    </row>
    <row r="3" ht="48" customHeight="1">
      <c r="A3" s="2" t="inlineStr">
        <is>
          <t>1. Ayarlar</t>
        </is>
      </c>
      <c r="B3" s="3" t="inlineStr">
        <is>
          <t>Önce Ayarlar sayfasında derslerin adını, her dersin soru sayısını ve hedef netini kendi denemene göre düzelt. Yanlış katsayısı varsayılan 4 (4 yanlış 1 doğruyu götürür).</t>
        </is>
      </c>
    </row>
    <row r="4" ht="48" customHeight="1">
      <c r="A4" s="2" t="inlineStr">
        <is>
          <t>2. Deneme Girişi</t>
        </is>
      </c>
      <c r="B4" s="3" t="inlineStr">
        <is>
          <t>Her denemeden sonra bir satır doldur: tarih, deneme adı, her ders için Doğru (D) ve Yanlış (Y). 'Soru' hücresine sadece o denemede o dersin soru sayısı farklıysa yaz; boş bırakırsan Ayarlar'daki sayı kullanılır. Bir ders o denemede hiç yoksa D ve Y'yi boş bırak. Dersi tamamen boş bıraktıysan D=0, Y=0 yaz. D+Y soru sayısını geçerse hücre kırmızı olur.</t>
        </is>
      </c>
    </row>
    <row r="5" ht="48" customHeight="1">
      <c r="A5" s="2" t="inlineStr">
        <is>
          <t>3. Konu Takibi</t>
        </is>
      </c>
      <c r="B5" s="3" t="inlineStr">
        <is>
          <t>Yanlış/boş yaptığın her soruyu konu adıyla yaz, hata nedenini listeden seç. Aynı konuda 2. hata sarı, 3. ve sonrası kırmızı yanar. Konuyu tekrar çalışınca 'Evet' seç.</t>
        </is>
      </c>
    </row>
    <row r="6" ht="48" customHeight="1">
      <c r="A6" s="2" t="inlineStr">
        <is>
          <t>4. Analiz</t>
        </is>
      </c>
      <c r="B6" s="3" t="inlineStr">
        <is>
          <t>Soru sayıları denemeden denemeye değişebildiği için karşılaştırmalar Başarı % (net ÷ soru) üzerinden yapılır. Hiçbir şey yazmadan özet kartları, ders bazında başarı yüzdesini, hedefe kalan neti, hata nedenlerini ve grafikleri görürsün. Ders seç kutusundan tek bir dersin gelişimine bak.</t>
        </is>
      </c>
    </row>
    <row r="7" ht="48" customHeight="1">
      <c r="A7" s="2" t="inlineStr">
        <is>
          <t>Tahmini TYT</t>
        </is>
      </c>
      <c r="B7" s="3" t="inlineStr">
        <is>
          <t>Deneme Girişi'nin sonunda ve Analiz'de yaklaşık bir TYT puanı görürsün. Her ders bir TYT testine sayılır (Edebiyat→Türkçe, Tarih/Coğrafya/Din→Sosyal, Fizik/Kimya/Biyoloji→Fen). O testteki başarı yüzden TYT soru sayısıyla çarpılır, katsayılarla puana çevrilir. Kaba bir tahmindir; eşleme ve katsayılar Ayarlar'da.</t>
        </is>
      </c>
    </row>
    <row r="8" ht="48" customHeight="1">
      <c r="A8" s="2" t="inlineStr">
        <is>
          <t>Renkler</t>
        </is>
      </c>
      <c r="B8" s="3" t="inlineStr">
        <is>
          <t>Krem renkli hücreler = senin dolduracağın yerler. Mavi yazı = elle girilen veri. Siyah/kalın = otomatik formül (değiştirme).</t>
        </is>
      </c>
    </row>
    <row r="9" ht="48" customHeight="1">
      <c r="A9" s="2" t="inlineStr">
        <is>
          <t>Örnek satır</t>
        </is>
      </c>
      <c r="B9" s="3" t="inlineStr">
        <is>
          <t>Deneme Girişi ve Konu Takibi'nin ilk satırında örnek veri var — formatı gösteriyor. Kendi verini girmeden önce silebilirsin.</t>
        </is>
      </c>
    </row>
    <row r="10" ht="48" customHeight="1">
      <c r="A10" s="2" t="inlineStr">
        <is>
          <t>İpucu</t>
        </is>
      </c>
      <c r="B10" s="3" t="inlineStr">
        <is>
          <t>Konu Takibi'nde başlıklardaki filtre oklarıyla 'Ders = Matematik' ve 'Tekrar Çalışıldı mı? = Hayır' seçersen, çalışman gereken soruların listesi çıkar.</t>
        </is>
      </c>
    </row>
    <row r="12">
      <c r="A12" s="4" t="inlineStr">
        <is>
          <t>Örnek giriş hücresi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5" customWidth="1" min="4" max="4"/>
    <col width="5" customWidth="1" min="5" max="5"/>
    <col width="5" customWidth="1" min="6" max="6"/>
    <col width="7" customWidth="1" min="7" max="7"/>
    <col width="5" customWidth="1" min="8" max="8"/>
    <col width="5" customWidth="1" min="9" max="9"/>
    <col width="5" customWidth="1" min="10" max="10"/>
    <col width="7" customWidth="1" min="11" max="11"/>
    <col width="5" customWidth="1" min="12" max="12"/>
    <col width="5" customWidth="1" min="13" max="13"/>
    <col width="5" customWidth="1" min="14" max="14"/>
    <col width="7" customWidth="1" min="15" max="15"/>
    <col width="5" customWidth="1" min="16" max="16"/>
    <col width="5" customWidth="1" min="17" max="17"/>
    <col width="5" customWidth="1" min="18" max="18"/>
    <col width="7" customWidth="1" min="19" max="19"/>
    <col width="5" customWidth="1" min="20" max="20"/>
    <col width="5" customWidth="1" min="21" max="21"/>
    <col width="5" customWidth="1" min="22" max="22"/>
    <col width="7" customWidth="1" min="23" max="23"/>
    <col width="5" customWidth="1" min="24" max="24"/>
    <col width="5" customWidth="1" min="25" max="25"/>
    <col width="5" customWidth="1" min="26" max="26"/>
    <col width="7" customWidth="1" min="27" max="27"/>
    <col width="5" customWidth="1" min="28" max="28"/>
    <col width="5" customWidth="1" min="29" max="29"/>
    <col width="5" customWidth="1" min="30" max="30"/>
    <col width="7" customWidth="1" min="31" max="31"/>
    <col width="5" customWidth="1" min="32" max="32"/>
    <col width="5" customWidth="1" min="33" max="33"/>
    <col width="5" customWidth="1" min="34" max="34"/>
    <col width="7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0" customWidth="1" min="44" max="44"/>
    <col width="10" customWidth="1" min="45" max="45"/>
    <col width="10" customWidth="1" min="46" max="46"/>
    <col width="9" customWidth="1" min="47" max="47"/>
  </cols>
  <sheetData>
    <row r="1">
      <c r="A1" s="1" t="inlineStr">
        <is>
          <t>Deneme Sonuçları</t>
        </is>
      </c>
    </row>
    <row r="2">
      <c r="A2" s="5" t="inlineStr">
        <is>
          <t>Her deneme için bir satır: Doğru (D) ve Yanlış (Y) gir. 'Soru' hücresini SADECE o denemede soru sayısı farklıysa doldur; boşsa Ayarlar'daki sayı kullanılır.</t>
        </is>
      </c>
    </row>
    <row r="3" ht="32" customHeight="1">
      <c r="A3" s="6" t="inlineStr">
        <is>
          <t>No</t>
        </is>
      </c>
      <c r="B3" s="6" t="inlineStr">
        <is>
          <t>Tarih</t>
        </is>
      </c>
      <c r="C3" s="6" t="inlineStr">
        <is>
          <t>Deneme / Yayın</t>
        </is>
      </c>
      <c r="D3" s="6">
        <f>Ayarlar!A4</f>
        <v/>
      </c>
      <c r="H3" s="7">
        <f>Ayarlar!A5</f>
        <v/>
      </c>
      <c r="L3" s="6">
        <f>Ayarlar!A6</f>
        <v/>
      </c>
      <c r="P3" s="7">
        <f>Ayarlar!A7</f>
        <v/>
      </c>
      <c r="T3" s="6">
        <f>Ayarlar!A8</f>
        <v/>
      </c>
      <c r="X3" s="7">
        <f>Ayarlar!A9</f>
        <v/>
      </c>
      <c r="AB3" s="6">
        <f>Ayarlar!A10</f>
        <v/>
      </c>
      <c r="AF3" s="7">
        <f>Ayarlar!A11</f>
        <v/>
      </c>
      <c r="AJ3" s="8" t="inlineStr">
        <is>
          <t>TOPLAM</t>
        </is>
      </c>
      <c r="AQ3" s="9" t="inlineStr">
        <is>
          <t>TAHMİNİ TYT (yaklaşık)</t>
        </is>
      </c>
    </row>
    <row r="4">
      <c r="D4" s="6" t="inlineStr">
        <is>
          <t>D</t>
        </is>
      </c>
      <c r="E4" s="6" t="inlineStr">
        <is>
          <t>Y</t>
        </is>
      </c>
      <c r="F4" s="6" t="inlineStr">
        <is>
          <t>Soru</t>
        </is>
      </c>
      <c r="G4" s="6" t="inlineStr">
        <is>
          <t>Net</t>
        </is>
      </c>
      <c r="H4" s="7" t="inlineStr">
        <is>
          <t>D</t>
        </is>
      </c>
      <c r="I4" s="7" t="inlineStr">
        <is>
          <t>Y</t>
        </is>
      </c>
      <c r="J4" s="7" t="inlineStr">
        <is>
          <t>Soru</t>
        </is>
      </c>
      <c r="K4" s="7" t="inlineStr">
        <is>
          <t>Net</t>
        </is>
      </c>
      <c r="L4" s="6" t="inlineStr">
        <is>
          <t>D</t>
        </is>
      </c>
      <c r="M4" s="6" t="inlineStr">
        <is>
          <t>Y</t>
        </is>
      </c>
      <c r="N4" s="6" t="inlineStr">
        <is>
          <t>Soru</t>
        </is>
      </c>
      <c r="O4" s="6" t="inlineStr">
        <is>
          <t>Net</t>
        </is>
      </c>
      <c r="P4" s="7" t="inlineStr">
        <is>
          <t>D</t>
        </is>
      </c>
      <c r="Q4" s="7" t="inlineStr">
        <is>
          <t>Y</t>
        </is>
      </c>
      <c r="R4" s="7" t="inlineStr">
        <is>
          <t>Soru</t>
        </is>
      </c>
      <c r="S4" s="7" t="inlineStr">
        <is>
          <t>Net</t>
        </is>
      </c>
      <c r="T4" s="6" t="inlineStr">
        <is>
          <t>D</t>
        </is>
      </c>
      <c r="U4" s="6" t="inlineStr">
        <is>
          <t>Y</t>
        </is>
      </c>
      <c r="V4" s="6" t="inlineStr">
        <is>
          <t>Soru</t>
        </is>
      </c>
      <c r="W4" s="6" t="inlineStr">
        <is>
          <t>Net</t>
        </is>
      </c>
      <c r="X4" s="7" t="inlineStr">
        <is>
          <t>D</t>
        </is>
      </c>
      <c r="Y4" s="7" t="inlineStr">
        <is>
          <t>Y</t>
        </is>
      </c>
      <c r="Z4" s="7" t="inlineStr">
        <is>
          <t>Soru</t>
        </is>
      </c>
      <c r="AA4" s="7" t="inlineStr">
        <is>
          <t>Net</t>
        </is>
      </c>
      <c r="AB4" s="6" t="inlineStr">
        <is>
          <t>D</t>
        </is>
      </c>
      <c r="AC4" s="6" t="inlineStr">
        <is>
          <t>Y</t>
        </is>
      </c>
      <c r="AD4" s="6" t="inlineStr">
        <is>
          <t>Soru</t>
        </is>
      </c>
      <c r="AE4" s="6" t="inlineStr">
        <is>
          <t>Net</t>
        </is>
      </c>
      <c r="AF4" s="7" t="inlineStr">
        <is>
          <t>D</t>
        </is>
      </c>
      <c r="AG4" s="7" t="inlineStr">
        <is>
          <t>Y</t>
        </is>
      </c>
      <c r="AH4" s="7" t="inlineStr">
        <is>
          <t>Soru</t>
        </is>
      </c>
      <c r="AI4" s="7" t="inlineStr">
        <is>
          <t>Net</t>
        </is>
      </c>
      <c r="AJ4" s="8" t="inlineStr">
        <is>
          <t>D</t>
        </is>
      </c>
      <c r="AK4" s="8" t="inlineStr">
        <is>
          <t>Y</t>
        </is>
      </c>
      <c r="AL4" s="8" t="inlineStr">
        <is>
          <t>Soru</t>
        </is>
      </c>
      <c r="AM4" s="8" t="inlineStr">
        <is>
          <t>Boş</t>
        </is>
      </c>
      <c r="AN4" s="8" t="inlineStr">
        <is>
          <t>Net</t>
        </is>
      </c>
      <c r="AO4" s="8" t="inlineStr">
        <is>
          <t>Başarı %</t>
        </is>
      </c>
      <c r="AP4" s="8" t="inlineStr">
        <is>
          <t>Değişim</t>
        </is>
      </c>
      <c r="AQ4" s="9">
        <f>Ayarlar!E21&amp;" net"</f>
        <v/>
      </c>
      <c r="AR4" s="9">
        <f>Ayarlar!E22&amp;" net"</f>
        <v/>
      </c>
      <c r="AS4" s="9">
        <f>Ayarlar!E23&amp;" net"</f>
        <v/>
      </c>
      <c r="AT4" s="9">
        <f>Ayarlar!E24&amp;" net"</f>
        <v/>
      </c>
      <c r="AU4" s="9" t="inlineStr">
        <is>
          <t>Puan</t>
        </is>
      </c>
    </row>
    <row r="5">
      <c r="A5" s="10" t="n">
        <v>1</v>
      </c>
      <c r="B5" s="11" t="n">
        <v>46285</v>
      </c>
      <c r="C5" s="4" t="inlineStr">
        <is>
          <t>Örnek Yayın – Deneme 1 (silebilirsin)</t>
        </is>
      </c>
      <c r="D5" s="12" t="n">
        <v>9</v>
      </c>
      <c r="E5" s="12" t="n">
        <v>2</v>
      </c>
      <c r="F5" s="13" t="n"/>
      <c r="G5" s="14">
        <f>IF(AND(D5="",E5=""),"",D5-IF(Ayarlar!$B$16&gt;0,E5/Ayarlar!$B$16,0))</f>
        <v/>
      </c>
      <c r="H5" s="12" t="n">
        <v>10</v>
      </c>
      <c r="I5" s="12" t="n">
        <v>0</v>
      </c>
      <c r="J5" s="13" t="n"/>
      <c r="K5" s="14">
        <f>IF(AND(H5="",I5=""),"",H5-IF(Ayarlar!$B$16&gt;0,I5/Ayarlar!$B$16,0))</f>
        <v/>
      </c>
      <c r="L5" s="12" t="n">
        <v>3</v>
      </c>
      <c r="M5" s="12" t="n">
        <v>1</v>
      </c>
      <c r="N5" s="13" t="n"/>
      <c r="O5" s="14">
        <f>IF(AND(L5="",M5=""),"",L5-IF(Ayarlar!$B$16&gt;0,M5/Ayarlar!$B$16,0))</f>
        <v/>
      </c>
      <c r="P5" s="12" t="n">
        <v>5</v>
      </c>
      <c r="Q5" s="12" t="n">
        <v>0</v>
      </c>
      <c r="R5" s="13" t="n"/>
      <c r="S5" s="14">
        <f>IF(AND(P5="",Q5=""),"",P5-IF(Ayarlar!$B$16&gt;0,Q5/Ayarlar!$B$16,0))</f>
        <v/>
      </c>
      <c r="T5" s="12" t="n">
        <v>7</v>
      </c>
      <c r="U5" s="12" t="n">
        <v>1</v>
      </c>
      <c r="V5" s="13" t="n"/>
      <c r="W5" s="14">
        <f>IF(AND(T5="",U5=""),"",T5-IF(Ayarlar!$B$16&gt;0,U5/Ayarlar!$B$16,0))</f>
        <v/>
      </c>
      <c r="X5" s="12" t="n">
        <v>3</v>
      </c>
      <c r="Y5" s="12" t="n">
        <v>6</v>
      </c>
      <c r="Z5" s="13" t="n"/>
      <c r="AA5" s="14">
        <f>IF(AND(X5="",Y5=""),"",X5-IF(Ayarlar!$B$16&gt;0,Y5/Ayarlar!$B$16,0))</f>
        <v/>
      </c>
      <c r="AB5" s="12" t="n">
        <v>5</v>
      </c>
      <c r="AC5" s="12" t="n">
        <v>1</v>
      </c>
      <c r="AD5" s="13" t="n"/>
      <c r="AE5" s="14">
        <f>IF(AND(AB5="",AC5=""),"",AB5-IF(Ayarlar!$B$16&gt;0,AC5/Ayarlar!$B$16,0))</f>
        <v/>
      </c>
      <c r="AF5" s="12" t="n">
        <v>3</v>
      </c>
      <c r="AG5" s="12" t="n">
        <v>6</v>
      </c>
      <c r="AH5" s="13" t="n"/>
      <c r="AI5" s="14">
        <f>IF(AND(AF5="",AG5=""),"",AF5-IF(Ayarlar!$B$16&gt;0,AG5/Ayarlar!$B$16,0))</f>
        <v/>
      </c>
      <c r="AJ5" s="15">
        <f>IF(COUNT(D5,E5,H5,I5,L5,M5,P5,Q5,T5,U5,X5,Y5,AB5,AC5,AF5,AG5)=0,"",D5+H5+L5+P5+T5+X5+AB5+AF5)</f>
        <v/>
      </c>
      <c r="AK5" s="15">
        <f>IF(COUNT(D5,E5,H5,I5,L5,M5,P5,Q5,T5,U5,X5,Y5,AB5,AC5,AF5,AG5)=0,"",E5+I5+M5+Q5+U5+Y5+AC5+AG5)</f>
        <v/>
      </c>
      <c r="AL5" s="15">
        <f>IF(COUNT(D5,E5,H5,I5,L5,M5,P5,Q5,T5,U5,X5,Y5,AB5,AC5,AF5,AG5)=0,"",IF(ISNUMBER(G5),IF(F5="",Ayarlar!$B$4,F5),0)+IF(ISNUMBER(K5),IF(J5="",Ayarlar!$B$5,J5),0)+IF(ISNUMBER(O5),IF(N5="",Ayarlar!$B$6,N5),0)+IF(ISNUMBER(S5),IF(R5="",Ayarlar!$B$7,R5),0)+IF(ISNUMBER(W5),IF(V5="",Ayarlar!$B$8,V5),0)+IF(ISNUMBER(AA5),IF(Z5="",Ayarlar!$B$9,Z5),0)+IF(ISNUMBER(AE5),IF(AD5="",Ayarlar!$B$10,AD5),0)+IF(ISNUMBER(AI5),IF(AH5="",Ayarlar!$B$11,AH5),0))</f>
        <v/>
      </c>
      <c r="AM5" s="15">
        <f>IF(COUNT(D5,E5,H5,I5,L5,M5,P5,Q5,T5,U5,X5,Y5,AB5,AC5,AF5,AG5)=0,"",AL5-AJ5-AK5)</f>
        <v/>
      </c>
      <c r="AN5" s="16">
        <f>IF(COUNT(D5,E5,H5,I5,L5,M5,P5,Q5,T5,U5,X5,Y5,AB5,AC5,AF5,AG5)=0,"",SUM(G5,K5,O5,S5,W5,AA5,AE5,AI5))</f>
        <v/>
      </c>
      <c r="AO5" s="17">
        <f>IF(OR(COUNT(D5,E5,H5,I5,L5,M5,P5,Q5,T5,U5,X5,Y5,AB5,AC5,AF5,AG5)=0,N(AL5)=0),"",AN5/AL5)</f>
        <v/>
      </c>
      <c r="AP5" s="18" t="inlineStr"/>
      <c r="AQ5" s="19">
        <f>IFERROR((IF(Ayarlar!$B$21=Ayarlar!$E$21,N(G5),0)+IF(Ayarlar!$B$22=Ayarlar!$E$21,N(K5),0)+IF(Ayarlar!$B$23=Ayarlar!$E$21,N(O5),0)+IF(Ayarlar!$B$24=Ayarlar!$E$21,N(S5),0)+IF(Ayarlar!$B$25=Ayarlar!$E$21,N(W5),0)+IF(Ayarlar!$B$26=Ayarlar!$E$21,N(AA5),0)+IF(Ayarlar!$B$27=Ayarlar!$E$21,N(AE5),0)+IF(Ayarlar!$B$28=Ayarlar!$E$21,N(AI5),0))/(IF(AND(Ayarlar!$B$21=Ayarlar!$E$21,ISNUMBER(G5)),IF(F5="",Ayarlar!$B$4,F5),0)+IF(AND(Ayarlar!$B$22=Ayarlar!$E$21,ISNUMBER(K5)),IF(J5="",Ayarlar!$B$5,J5),0)+IF(AND(Ayarlar!$B$23=Ayarlar!$E$21,ISNUMBER(O5)),IF(N5="",Ayarlar!$B$6,N5),0)+IF(AND(Ayarlar!$B$24=Ayarlar!$E$21,ISNUMBER(S5)),IF(R5="",Ayarlar!$B$7,R5),0)+IF(AND(Ayarlar!$B$25=Ayarlar!$E$21,ISNUMBER(W5)),IF(V5="",Ayarlar!$B$8,V5),0)+IF(AND(Ayarlar!$B$26=Ayarlar!$E$21,ISNUMBER(AA5)),IF(Z5="",Ayarlar!$B$9,Z5),0)+IF(AND(Ayarlar!$B$27=Ayarlar!$E$21,ISNUMBER(AE5)),IF(AD5="",Ayarlar!$B$10,AD5),0)+IF(AND(Ayarlar!$B$28=Ayarlar!$E$21,ISNUMBER(AI5)),IF(AH5="",Ayarlar!$B$11,AH5),0))*Ayarlar!$F$21,"")</f>
        <v/>
      </c>
      <c r="AR5" s="19">
        <f>IFERROR((IF(Ayarlar!$B$21=Ayarlar!$E$22,N(G5),0)+IF(Ayarlar!$B$22=Ayarlar!$E$22,N(K5),0)+IF(Ayarlar!$B$23=Ayarlar!$E$22,N(O5),0)+IF(Ayarlar!$B$24=Ayarlar!$E$22,N(S5),0)+IF(Ayarlar!$B$25=Ayarlar!$E$22,N(W5),0)+IF(Ayarlar!$B$26=Ayarlar!$E$22,N(AA5),0)+IF(Ayarlar!$B$27=Ayarlar!$E$22,N(AE5),0)+IF(Ayarlar!$B$28=Ayarlar!$E$22,N(AI5),0))/(IF(AND(Ayarlar!$B$21=Ayarlar!$E$22,ISNUMBER(G5)),IF(F5="",Ayarlar!$B$4,F5),0)+IF(AND(Ayarlar!$B$22=Ayarlar!$E$22,ISNUMBER(K5)),IF(J5="",Ayarlar!$B$5,J5),0)+IF(AND(Ayarlar!$B$23=Ayarlar!$E$22,ISNUMBER(O5)),IF(N5="",Ayarlar!$B$6,N5),0)+IF(AND(Ayarlar!$B$24=Ayarlar!$E$22,ISNUMBER(S5)),IF(R5="",Ayarlar!$B$7,R5),0)+IF(AND(Ayarlar!$B$25=Ayarlar!$E$22,ISNUMBER(W5)),IF(V5="",Ayarlar!$B$8,V5),0)+IF(AND(Ayarlar!$B$26=Ayarlar!$E$22,ISNUMBER(AA5)),IF(Z5="",Ayarlar!$B$9,Z5),0)+IF(AND(Ayarlar!$B$27=Ayarlar!$E$22,ISNUMBER(AE5)),IF(AD5="",Ayarlar!$B$10,AD5),0)+IF(AND(Ayarlar!$B$28=Ayarlar!$E$22,ISNUMBER(AI5)),IF(AH5="",Ayarlar!$B$11,AH5),0))*Ayarlar!$F$22,"")</f>
        <v/>
      </c>
      <c r="AS5" s="19">
        <f>IFERROR((IF(Ayarlar!$B$21=Ayarlar!$E$23,N(G5),0)+IF(Ayarlar!$B$22=Ayarlar!$E$23,N(K5),0)+IF(Ayarlar!$B$23=Ayarlar!$E$23,N(O5),0)+IF(Ayarlar!$B$24=Ayarlar!$E$23,N(S5),0)+IF(Ayarlar!$B$25=Ayarlar!$E$23,N(W5),0)+IF(Ayarlar!$B$26=Ayarlar!$E$23,N(AA5),0)+IF(Ayarlar!$B$27=Ayarlar!$E$23,N(AE5),0)+IF(Ayarlar!$B$28=Ayarlar!$E$23,N(AI5),0))/(IF(AND(Ayarlar!$B$21=Ayarlar!$E$23,ISNUMBER(G5)),IF(F5="",Ayarlar!$B$4,F5),0)+IF(AND(Ayarlar!$B$22=Ayarlar!$E$23,ISNUMBER(K5)),IF(J5="",Ayarlar!$B$5,J5),0)+IF(AND(Ayarlar!$B$23=Ayarlar!$E$23,ISNUMBER(O5)),IF(N5="",Ayarlar!$B$6,N5),0)+IF(AND(Ayarlar!$B$24=Ayarlar!$E$23,ISNUMBER(S5)),IF(R5="",Ayarlar!$B$7,R5),0)+IF(AND(Ayarlar!$B$25=Ayarlar!$E$23,ISNUMBER(W5)),IF(V5="",Ayarlar!$B$8,V5),0)+IF(AND(Ayarlar!$B$26=Ayarlar!$E$23,ISNUMBER(AA5)),IF(Z5="",Ayarlar!$B$9,Z5),0)+IF(AND(Ayarlar!$B$27=Ayarlar!$E$23,ISNUMBER(AE5)),IF(AD5="",Ayarlar!$B$10,AD5),0)+IF(AND(Ayarlar!$B$28=Ayarlar!$E$23,ISNUMBER(AI5)),IF(AH5="",Ayarlar!$B$11,AH5),0))*Ayarlar!$F$23,"")</f>
        <v/>
      </c>
      <c r="AT5" s="19">
        <f>IFERROR((IF(Ayarlar!$B$21=Ayarlar!$E$24,N(G5),0)+IF(Ayarlar!$B$22=Ayarlar!$E$24,N(K5),0)+IF(Ayarlar!$B$23=Ayarlar!$E$24,N(O5),0)+IF(Ayarlar!$B$24=Ayarlar!$E$24,N(S5),0)+IF(Ayarlar!$B$25=Ayarlar!$E$24,N(W5),0)+IF(Ayarlar!$B$26=Ayarlar!$E$24,N(AA5),0)+IF(Ayarlar!$B$27=Ayarlar!$E$24,N(AE5),0)+IF(Ayarlar!$B$28=Ayarlar!$E$24,N(AI5),0))/(IF(AND(Ayarlar!$B$21=Ayarlar!$E$24,ISNUMBER(G5)),IF(F5="",Ayarlar!$B$4,F5),0)+IF(AND(Ayarlar!$B$22=Ayarlar!$E$24,ISNUMBER(K5)),IF(J5="",Ayarlar!$B$5,J5),0)+IF(AND(Ayarlar!$B$23=Ayarlar!$E$24,ISNUMBER(O5)),IF(N5="",Ayarlar!$B$6,N5),0)+IF(AND(Ayarlar!$B$24=Ayarlar!$E$24,ISNUMBER(S5)),IF(R5="",Ayarlar!$B$7,R5),0)+IF(AND(Ayarlar!$B$25=Ayarlar!$E$24,ISNUMBER(W5)),IF(V5="",Ayarlar!$B$8,V5),0)+IF(AND(Ayarlar!$B$26=Ayarlar!$E$24,ISNUMBER(AA5)),IF(Z5="",Ayarlar!$B$9,Z5),0)+IF(AND(Ayarlar!$B$27=Ayarlar!$E$24,ISNUMBER(AE5)),IF(AD5="",Ayarlar!$B$10,AD5),0)+IF(AND(Ayarlar!$B$28=Ayarlar!$E$24,ISNUMBER(AI5)),IF(AH5="",Ayarlar!$B$11,AH5),0))*Ayarlar!$F$24,"")</f>
        <v/>
      </c>
      <c r="AU5" s="20">
        <f>IF(COUNT(AQ5,AR5,AS5,AT5)&lt;4,"",Ayarlar!$F$25+AQ5*Ayarlar!$G$21+AR5*Ayarlar!$G$22+AS5*Ayarlar!$G$23+AT5*Ayarlar!$G$24)</f>
        <v/>
      </c>
    </row>
    <row r="6">
      <c r="A6" s="10" t="n">
        <v>2</v>
      </c>
      <c r="B6" s="11" t="n"/>
      <c r="C6" s="4" t="n"/>
      <c r="D6" s="12" t="n"/>
      <c r="E6" s="12" t="n"/>
      <c r="F6" s="13" t="n"/>
      <c r="G6" s="14">
        <f>IF(AND(D6="",E6=""),"",D6-IF(Ayarlar!$B$16&gt;0,E6/Ayarlar!$B$16,0))</f>
        <v/>
      </c>
      <c r="H6" s="12" t="n"/>
      <c r="I6" s="12" t="n"/>
      <c r="J6" s="13" t="n"/>
      <c r="K6" s="14">
        <f>IF(AND(H6="",I6=""),"",H6-IF(Ayarlar!$B$16&gt;0,I6/Ayarlar!$B$16,0))</f>
        <v/>
      </c>
      <c r="L6" s="12" t="n"/>
      <c r="M6" s="12" t="n"/>
      <c r="N6" s="13" t="n"/>
      <c r="O6" s="14">
        <f>IF(AND(L6="",M6=""),"",L6-IF(Ayarlar!$B$16&gt;0,M6/Ayarlar!$B$16,0))</f>
        <v/>
      </c>
      <c r="P6" s="12" t="n"/>
      <c r="Q6" s="12" t="n"/>
      <c r="R6" s="13" t="n"/>
      <c r="S6" s="14">
        <f>IF(AND(P6="",Q6=""),"",P6-IF(Ayarlar!$B$16&gt;0,Q6/Ayarlar!$B$16,0))</f>
        <v/>
      </c>
      <c r="T6" s="12" t="n"/>
      <c r="U6" s="12" t="n"/>
      <c r="V6" s="13" t="n"/>
      <c r="W6" s="14">
        <f>IF(AND(T6="",U6=""),"",T6-IF(Ayarlar!$B$16&gt;0,U6/Ayarlar!$B$16,0))</f>
        <v/>
      </c>
      <c r="X6" s="12" t="n"/>
      <c r="Y6" s="12" t="n"/>
      <c r="Z6" s="13" t="n"/>
      <c r="AA6" s="14">
        <f>IF(AND(X6="",Y6=""),"",X6-IF(Ayarlar!$B$16&gt;0,Y6/Ayarlar!$B$16,0))</f>
        <v/>
      </c>
      <c r="AB6" s="12" t="n"/>
      <c r="AC6" s="12" t="n"/>
      <c r="AD6" s="13" t="n"/>
      <c r="AE6" s="14">
        <f>IF(AND(AB6="",AC6=""),"",AB6-IF(Ayarlar!$B$16&gt;0,AC6/Ayarlar!$B$16,0))</f>
        <v/>
      </c>
      <c r="AF6" s="12" t="n"/>
      <c r="AG6" s="12" t="n"/>
      <c r="AH6" s="13" t="n"/>
      <c r="AI6" s="14">
        <f>IF(AND(AF6="",AG6=""),"",AF6-IF(Ayarlar!$B$16&gt;0,AG6/Ayarlar!$B$16,0))</f>
        <v/>
      </c>
      <c r="AJ6" s="15">
        <f>IF(COUNT(D6,E6,H6,I6,L6,M6,P6,Q6,T6,U6,X6,Y6,AB6,AC6,AF6,AG6)=0,"",D6+H6+L6+P6+T6+X6+AB6+AF6)</f>
        <v/>
      </c>
      <c r="AK6" s="15">
        <f>IF(COUNT(D6,E6,H6,I6,L6,M6,P6,Q6,T6,U6,X6,Y6,AB6,AC6,AF6,AG6)=0,"",E6+I6+M6+Q6+U6+Y6+AC6+AG6)</f>
        <v/>
      </c>
      <c r="AL6" s="15">
        <f>IF(COUNT(D6,E6,H6,I6,L6,M6,P6,Q6,T6,U6,X6,Y6,AB6,AC6,AF6,AG6)=0,"",IF(ISNUMBER(G6),IF(F6="",Ayarlar!$B$4,F6),0)+IF(ISNUMBER(K6),IF(J6="",Ayarlar!$B$5,J6),0)+IF(ISNUMBER(O6),IF(N6="",Ayarlar!$B$6,N6),0)+IF(ISNUMBER(S6),IF(R6="",Ayarlar!$B$7,R6),0)+IF(ISNUMBER(W6),IF(V6="",Ayarlar!$B$8,V6),0)+IF(ISNUMBER(AA6),IF(Z6="",Ayarlar!$B$9,Z6),0)+IF(ISNUMBER(AE6),IF(AD6="",Ayarlar!$B$10,AD6),0)+IF(ISNUMBER(AI6),IF(AH6="",Ayarlar!$B$11,AH6),0))</f>
        <v/>
      </c>
      <c r="AM6" s="15">
        <f>IF(COUNT(D6,E6,H6,I6,L6,M6,P6,Q6,T6,U6,X6,Y6,AB6,AC6,AF6,AG6)=0,"",AL6-AJ6-AK6)</f>
        <v/>
      </c>
      <c r="AN6" s="16">
        <f>IF(COUNT(D6,E6,H6,I6,L6,M6,P6,Q6,T6,U6,X6,Y6,AB6,AC6,AF6,AG6)=0,"",SUM(G6,K6,O6,S6,W6,AA6,AE6,AI6))</f>
        <v/>
      </c>
      <c r="AO6" s="17">
        <f>IF(OR(COUNT(D6,E6,H6,I6,L6,M6,P6,Q6,T6,U6,X6,Y6,AB6,AC6,AF6,AG6)=0,N(AL6)=0),"",AN6/AL6)</f>
        <v/>
      </c>
      <c r="AP6" s="18">
        <f>IF(OR(AO6="",AO5=""),"",AO6-AO5)</f>
        <v/>
      </c>
      <c r="AQ6" s="19">
        <f>IFERROR((IF(Ayarlar!$B$21=Ayarlar!$E$21,N(G6),0)+IF(Ayarlar!$B$22=Ayarlar!$E$21,N(K6),0)+IF(Ayarlar!$B$23=Ayarlar!$E$21,N(O6),0)+IF(Ayarlar!$B$24=Ayarlar!$E$21,N(S6),0)+IF(Ayarlar!$B$25=Ayarlar!$E$21,N(W6),0)+IF(Ayarlar!$B$26=Ayarlar!$E$21,N(AA6),0)+IF(Ayarlar!$B$27=Ayarlar!$E$21,N(AE6),0)+IF(Ayarlar!$B$28=Ayarlar!$E$21,N(AI6),0))/(IF(AND(Ayarlar!$B$21=Ayarlar!$E$21,ISNUMBER(G6)),IF(F6="",Ayarlar!$B$4,F6),0)+IF(AND(Ayarlar!$B$22=Ayarlar!$E$21,ISNUMBER(K6)),IF(J6="",Ayarlar!$B$5,J6),0)+IF(AND(Ayarlar!$B$23=Ayarlar!$E$21,ISNUMBER(O6)),IF(N6="",Ayarlar!$B$6,N6),0)+IF(AND(Ayarlar!$B$24=Ayarlar!$E$21,ISNUMBER(S6)),IF(R6="",Ayarlar!$B$7,R6),0)+IF(AND(Ayarlar!$B$25=Ayarlar!$E$21,ISNUMBER(W6)),IF(V6="",Ayarlar!$B$8,V6),0)+IF(AND(Ayarlar!$B$26=Ayarlar!$E$21,ISNUMBER(AA6)),IF(Z6="",Ayarlar!$B$9,Z6),0)+IF(AND(Ayarlar!$B$27=Ayarlar!$E$21,ISNUMBER(AE6)),IF(AD6="",Ayarlar!$B$10,AD6),0)+IF(AND(Ayarlar!$B$28=Ayarlar!$E$21,ISNUMBER(AI6)),IF(AH6="",Ayarlar!$B$11,AH6),0))*Ayarlar!$F$21,"")</f>
        <v/>
      </c>
      <c r="AR6" s="19">
        <f>IFERROR((IF(Ayarlar!$B$21=Ayarlar!$E$22,N(G6),0)+IF(Ayarlar!$B$22=Ayarlar!$E$22,N(K6),0)+IF(Ayarlar!$B$23=Ayarlar!$E$22,N(O6),0)+IF(Ayarlar!$B$24=Ayarlar!$E$22,N(S6),0)+IF(Ayarlar!$B$25=Ayarlar!$E$22,N(W6),0)+IF(Ayarlar!$B$26=Ayarlar!$E$22,N(AA6),0)+IF(Ayarlar!$B$27=Ayarlar!$E$22,N(AE6),0)+IF(Ayarlar!$B$28=Ayarlar!$E$22,N(AI6),0))/(IF(AND(Ayarlar!$B$21=Ayarlar!$E$22,ISNUMBER(G6)),IF(F6="",Ayarlar!$B$4,F6),0)+IF(AND(Ayarlar!$B$22=Ayarlar!$E$22,ISNUMBER(K6)),IF(J6="",Ayarlar!$B$5,J6),0)+IF(AND(Ayarlar!$B$23=Ayarlar!$E$22,ISNUMBER(O6)),IF(N6="",Ayarlar!$B$6,N6),0)+IF(AND(Ayarlar!$B$24=Ayarlar!$E$22,ISNUMBER(S6)),IF(R6="",Ayarlar!$B$7,R6),0)+IF(AND(Ayarlar!$B$25=Ayarlar!$E$22,ISNUMBER(W6)),IF(V6="",Ayarlar!$B$8,V6),0)+IF(AND(Ayarlar!$B$26=Ayarlar!$E$22,ISNUMBER(AA6)),IF(Z6="",Ayarlar!$B$9,Z6),0)+IF(AND(Ayarlar!$B$27=Ayarlar!$E$22,ISNUMBER(AE6)),IF(AD6="",Ayarlar!$B$10,AD6),0)+IF(AND(Ayarlar!$B$28=Ayarlar!$E$22,ISNUMBER(AI6)),IF(AH6="",Ayarlar!$B$11,AH6),0))*Ayarlar!$F$22,"")</f>
        <v/>
      </c>
      <c r="AS6" s="19">
        <f>IFERROR((IF(Ayarlar!$B$21=Ayarlar!$E$23,N(G6),0)+IF(Ayarlar!$B$22=Ayarlar!$E$23,N(K6),0)+IF(Ayarlar!$B$23=Ayarlar!$E$23,N(O6),0)+IF(Ayarlar!$B$24=Ayarlar!$E$23,N(S6),0)+IF(Ayarlar!$B$25=Ayarlar!$E$23,N(W6),0)+IF(Ayarlar!$B$26=Ayarlar!$E$23,N(AA6),0)+IF(Ayarlar!$B$27=Ayarlar!$E$23,N(AE6),0)+IF(Ayarlar!$B$28=Ayarlar!$E$23,N(AI6),0))/(IF(AND(Ayarlar!$B$21=Ayarlar!$E$23,ISNUMBER(G6)),IF(F6="",Ayarlar!$B$4,F6),0)+IF(AND(Ayarlar!$B$22=Ayarlar!$E$23,ISNUMBER(K6)),IF(J6="",Ayarlar!$B$5,J6),0)+IF(AND(Ayarlar!$B$23=Ayarlar!$E$23,ISNUMBER(O6)),IF(N6="",Ayarlar!$B$6,N6),0)+IF(AND(Ayarlar!$B$24=Ayarlar!$E$23,ISNUMBER(S6)),IF(R6="",Ayarlar!$B$7,R6),0)+IF(AND(Ayarlar!$B$25=Ayarlar!$E$23,ISNUMBER(W6)),IF(V6="",Ayarlar!$B$8,V6),0)+IF(AND(Ayarlar!$B$26=Ayarlar!$E$23,ISNUMBER(AA6)),IF(Z6="",Ayarlar!$B$9,Z6),0)+IF(AND(Ayarlar!$B$27=Ayarlar!$E$23,ISNUMBER(AE6)),IF(AD6="",Ayarlar!$B$10,AD6),0)+IF(AND(Ayarlar!$B$28=Ayarlar!$E$23,ISNUMBER(AI6)),IF(AH6="",Ayarlar!$B$11,AH6),0))*Ayarlar!$F$23,"")</f>
        <v/>
      </c>
      <c r="AT6" s="19">
        <f>IFERROR((IF(Ayarlar!$B$21=Ayarlar!$E$24,N(G6),0)+IF(Ayarlar!$B$22=Ayarlar!$E$24,N(K6),0)+IF(Ayarlar!$B$23=Ayarlar!$E$24,N(O6),0)+IF(Ayarlar!$B$24=Ayarlar!$E$24,N(S6),0)+IF(Ayarlar!$B$25=Ayarlar!$E$24,N(W6),0)+IF(Ayarlar!$B$26=Ayarlar!$E$24,N(AA6),0)+IF(Ayarlar!$B$27=Ayarlar!$E$24,N(AE6),0)+IF(Ayarlar!$B$28=Ayarlar!$E$24,N(AI6),0))/(IF(AND(Ayarlar!$B$21=Ayarlar!$E$24,ISNUMBER(G6)),IF(F6="",Ayarlar!$B$4,F6),0)+IF(AND(Ayarlar!$B$22=Ayarlar!$E$24,ISNUMBER(K6)),IF(J6="",Ayarlar!$B$5,J6),0)+IF(AND(Ayarlar!$B$23=Ayarlar!$E$24,ISNUMBER(O6)),IF(N6="",Ayarlar!$B$6,N6),0)+IF(AND(Ayarlar!$B$24=Ayarlar!$E$24,ISNUMBER(S6)),IF(R6="",Ayarlar!$B$7,R6),0)+IF(AND(Ayarlar!$B$25=Ayarlar!$E$24,ISNUMBER(W6)),IF(V6="",Ayarlar!$B$8,V6),0)+IF(AND(Ayarlar!$B$26=Ayarlar!$E$24,ISNUMBER(AA6)),IF(Z6="",Ayarlar!$B$9,Z6),0)+IF(AND(Ayarlar!$B$27=Ayarlar!$E$24,ISNUMBER(AE6)),IF(AD6="",Ayarlar!$B$10,AD6),0)+IF(AND(Ayarlar!$B$28=Ayarlar!$E$24,ISNUMBER(AI6)),IF(AH6="",Ayarlar!$B$11,AH6),0))*Ayarlar!$F$24,"")</f>
        <v/>
      </c>
      <c r="AU6" s="20">
        <f>IF(COUNT(AQ6,AR6,AS6,AT6)&lt;4,"",Ayarlar!$F$25+AQ6*Ayarlar!$G$21+AR6*Ayarlar!$G$22+AS6*Ayarlar!$G$23+AT6*Ayarlar!$G$24)</f>
        <v/>
      </c>
    </row>
    <row r="7">
      <c r="A7" s="10" t="n">
        <v>3</v>
      </c>
      <c r="B7" s="11" t="n"/>
      <c r="C7" s="4" t="n"/>
      <c r="D7" s="12" t="n"/>
      <c r="E7" s="12" t="n"/>
      <c r="F7" s="13" t="n"/>
      <c r="G7" s="14">
        <f>IF(AND(D7="",E7=""),"",D7-IF(Ayarlar!$B$16&gt;0,E7/Ayarlar!$B$16,0))</f>
        <v/>
      </c>
      <c r="H7" s="12" t="n"/>
      <c r="I7" s="12" t="n"/>
      <c r="J7" s="13" t="n"/>
      <c r="K7" s="14">
        <f>IF(AND(H7="",I7=""),"",H7-IF(Ayarlar!$B$16&gt;0,I7/Ayarlar!$B$16,0))</f>
        <v/>
      </c>
      <c r="L7" s="12" t="n"/>
      <c r="M7" s="12" t="n"/>
      <c r="N7" s="13" t="n"/>
      <c r="O7" s="14">
        <f>IF(AND(L7="",M7=""),"",L7-IF(Ayarlar!$B$16&gt;0,M7/Ayarlar!$B$16,0))</f>
        <v/>
      </c>
      <c r="P7" s="12" t="n"/>
      <c r="Q7" s="12" t="n"/>
      <c r="R7" s="13" t="n"/>
      <c r="S7" s="14">
        <f>IF(AND(P7="",Q7=""),"",P7-IF(Ayarlar!$B$16&gt;0,Q7/Ayarlar!$B$16,0))</f>
        <v/>
      </c>
      <c r="T7" s="12" t="n"/>
      <c r="U7" s="12" t="n"/>
      <c r="V7" s="13" t="n"/>
      <c r="W7" s="14">
        <f>IF(AND(T7="",U7=""),"",T7-IF(Ayarlar!$B$16&gt;0,U7/Ayarlar!$B$16,0))</f>
        <v/>
      </c>
      <c r="X7" s="12" t="n"/>
      <c r="Y7" s="12" t="n"/>
      <c r="Z7" s="13" t="n"/>
      <c r="AA7" s="14">
        <f>IF(AND(X7="",Y7=""),"",X7-IF(Ayarlar!$B$16&gt;0,Y7/Ayarlar!$B$16,0))</f>
        <v/>
      </c>
      <c r="AB7" s="12" t="n"/>
      <c r="AC7" s="12" t="n"/>
      <c r="AD7" s="13" t="n"/>
      <c r="AE7" s="14">
        <f>IF(AND(AB7="",AC7=""),"",AB7-IF(Ayarlar!$B$16&gt;0,AC7/Ayarlar!$B$16,0))</f>
        <v/>
      </c>
      <c r="AF7" s="12" t="n"/>
      <c r="AG7" s="12" t="n"/>
      <c r="AH7" s="13" t="n"/>
      <c r="AI7" s="14">
        <f>IF(AND(AF7="",AG7=""),"",AF7-IF(Ayarlar!$B$16&gt;0,AG7/Ayarlar!$B$16,0))</f>
        <v/>
      </c>
      <c r="AJ7" s="15">
        <f>IF(COUNT(D7,E7,H7,I7,L7,M7,P7,Q7,T7,U7,X7,Y7,AB7,AC7,AF7,AG7)=0,"",D7+H7+L7+P7+T7+X7+AB7+AF7)</f>
        <v/>
      </c>
      <c r="AK7" s="15">
        <f>IF(COUNT(D7,E7,H7,I7,L7,M7,P7,Q7,T7,U7,X7,Y7,AB7,AC7,AF7,AG7)=0,"",E7+I7+M7+Q7+U7+Y7+AC7+AG7)</f>
        <v/>
      </c>
      <c r="AL7" s="15">
        <f>IF(COUNT(D7,E7,H7,I7,L7,M7,P7,Q7,T7,U7,X7,Y7,AB7,AC7,AF7,AG7)=0,"",IF(ISNUMBER(G7),IF(F7="",Ayarlar!$B$4,F7),0)+IF(ISNUMBER(K7),IF(J7="",Ayarlar!$B$5,J7),0)+IF(ISNUMBER(O7),IF(N7="",Ayarlar!$B$6,N7),0)+IF(ISNUMBER(S7),IF(R7="",Ayarlar!$B$7,R7),0)+IF(ISNUMBER(W7),IF(V7="",Ayarlar!$B$8,V7),0)+IF(ISNUMBER(AA7),IF(Z7="",Ayarlar!$B$9,Z7),0)+IF(ISNUMBER(AE7),IF(AD7="",Ayarlar!$B$10,AD7),0)+IF(ISNUMBER(AI7),IF(AH7="",Ayarlar!$B$11,AH7),0))</f>
        <v/>
      </c>
      <c r="AM7" s="15">
        <f>IF(COUNT(D7,E7,H7,I7,L7,M7,P7,Q7,T7,U7,X7,Y7,AB7,AC7,AF7,AG7)=0,"",AL7-AJ7-AK7)</f>
        <v/>
      </c>
      <c r="AN7" s="16">
        <f>IF(COUNT(D7,E7,H7,I7,L7,M7,P7,Q7,T7,U7,X7,Y7,AB7,AC7,AF7,AG7)=0,"",SUM(G7,K7,O7,S7,W7,AA7,AE7,AI7))</f>
        <v/>
      </c>
      <c r="AO7" s="17">
        <f>IF(OR(COUNT(D7,E7,H7,I7,L7,M7,P7,Q7,T7,U7,X7,Y7,AB7,AC7,AF7,AG7)=0,N(AL7)=0),"",AN7/AL7)</f>
        <v/>
      </c>
      <c r="AP7" s="18">
        <f>IF(OR(AO7="",AO6=""),"",AO7-AO6)</f>
        <v/>
      </c>
      <c r="AQ7" s="19">
        <f>IFERROR((IF(Ayarlar!$B$21=Ayarlar!$E$21,N(G7),0)+IF(Ayarlar!$B$22=Ayarlar!$E$21,N(K7),0)+IF(Ayarlar!$B$23=Ayarlar!$E$21,N(O7),0)+IF(Ayarlar!$B$24=Ayarlar!$E$21,N(S7),0)+IF(Ayarlar!$B$25=Ayarlar!$E$21,N(W7),0)+IF(Ayarlar!$B$26=Ayarlar!$E$21,N(AA7),0)+IF(Ayarlar!$B$27=Ayarlar!$E$21,N(AE7),0)+IF(Ayarlar!$B$28=Ayarlar!$E$21,N(AI7),0))/(IF(AND(Ayarlar!$B$21=Ayarlar!$E$21,ISNUMBER(G7)),IF(F7="",Ayarlar!$B$4,F7),0)+IF(AND(Ayarlar!$B$22=Ayarlar!$E$21,ISNUMBER(K7)),IF(J7="",Ayarlar!$B$5,J7),0)+IF(AND(Ayarlar!$B$23=Ayarlar!$E$21,ISNUMBER(O7)),IF(N7="",Ayarlar!$B$6,N7),0)+IF(AND(Ayarlar!$B$24=Ayarlar!$E$21,ISNUMBER(S7)),IF(R7="",Ayarlar!$B$7,R7),0)+IF(AND(Ayarlar!$B$25=Ayarlar!$E$21,ISNUMBER(W7)),IF(V7="",Ayarlar!$B$8,V7),0)+IF(AND(Ayarlar!$B$26=Ayarlar!$E$21,ISNUMBER(AA7)),IF(Z7="",Ayarlar!$B$9,Z7),0)+IF(AND(Ayarlar!$B$27=Ayarlar!$E$21,ISNUMBER(AE7)),IF(AD7="",Ayarlar!$B$10,AD7),0)+IF(AND(Ayarlar!$B$28=Ayarlar!$E$21,ISNUMBER(AI7)),IF(AH7="",Ayarlar!$B$11,AH7),0))*Ayarlar!$F$21,"")</f>
        <v/>
      </c>
      <c r="AR7" s="19">
        <f>IFERROR((IF(Ayarlar!$B$21=Ayarlar!$E$22,N(G7),0)+IF(Ayarlar!$B$22=Ayarlar!$E$22,N(K7),0)+IF(Ayarlar!$B$23=Ayarlar!$E$22,N(O7),0)+IF(Ayarlar!$B$24=Ayarlar!$E$22,N(S7),0)+IF(Ayarlar!$B$25=Ayarlar!$E$22,N(W7),0)+IF(Ayarlar!$B$26=Ayarlar!$E$22,N(AA7),0)+IF(Ayarlar!$B$27=Ayarlar!$E$22,N(AE7),0)+IF(Ayarlar!$B$28=Ayarlar!$E$22,N(AI7),0))/(IF(AND(Ayarlar!$B$21=Ayarlar!$E$22,ISNUMBER(G7)),IF(F7="",Ayarlar!$B$4,F7),0)+IF(AND(Ayarlar!$B$22=Ayarlar!$E$22,ISNUMBER(K7)),IF(J7="",Ayarlar!$B$5,J7),0)+IF(AND(Ayarlar!$B$23=Ayarlar!$E$22,ISNUMBER(O7)),IF(N7="",Ayarlar!$B$6,N7),0)+IF(AND(Ayarlar!$B$24=Ayarlar!$E$22,ISNUMBER(S7)),IF(R7="",Ayarlar!$B$7,R7),0)+IF(AND(Ayarlar!$B$25=Ayarlar!$E$22,ISNUMBER(W7)),IF(V7="",Ayarlar!$B$8,V7),0)+IF(AND(Ayarlar!$B$26=Ayarlar!$E$22,ISNUMBER(AA7)),IF(Z7="",Ayarlar!$B$9,Z7),0)+IF(AND(Ayarlar!$B$27=Ayarlar!$E$22,ISNUMBER(AE7)),IF(AD7="",Ayarlar!$B$10,AD7),0)+IF(AND(Ayarlar!$B$28=Ayarlar!$E$22,ISNUMBER(AI7)),IF(AH7="",Ayarlar!$B$11,AH7),0))*Ayarlar!$F$22,"")</f>
        <v/>
      </c>
      <c r="AS7" s="19">
        <f>IFERROR((IF(Ayarlar!$B$21=Ayarlar!$E$23,N(G7),0)+IF(Ayarlar!$B$22=Ayarlar!$E$23,N(K7),0)+IF(Ayarlar!$B$23=Ayarlar!$E$23,N(O7),0)+IF(Ayarlar!$B$24=Ayarlar!$E$23,N(S7),0)+IF(Ayarlar!$B$25=Ayarlar!$E$23,N(W7),0)+IF(Ayarlar!$B$26=Ayarlar!$E$23,N(AA7),0)+IF(Ayarlar!$B$27=Ayarlar!$E$23,N(AE7),0)+IF(Ayarlar!$B$28=Ayarlar!$E$23,N(AI7),0))/(IF(AND(Ayarlar!$B$21=Ayarlar!$E$23,ISNUMBER(G7)),IF(F7="",Ayarlar!$B$4,F7),0)+IF(AND(Ayarlar!$B$22=Ayarlar!$E$23,ISNUMBER(K7)),IF(J7="",Ayarlar!$B$5,J7),0)+IF(AND(Ayarlar!$B$23=Ayarlar!$E$23,ISNUMBER(O7)),IF(N7="",Ayarlar!$B$6,N7),0)+IF(AND(Ayarlar!$B$24=Ayarlar!$E$23,ISNUMBER(S7)),IF(R7="",Ayarlar!$B$7,R7),0)+IF(AND(Ayarlar!$B$25=Ayarlar!$E$23,ISNUMBER(W7)),IF(V7="",Ayarlar!$B$8,V7),0)+IF(AND(Ayarlar!$B$26=Ayarlar!$E$23,ISNUMBER(AA7)),IF(Z7="",Ayarlar!$B$9,Z7),0)+IF(AND(Ayarlar!$B$27=Ayarlar!$E$23,ISNUMBER(AE7)),IF(AD7="",Ayarlar!$B$10,AD7),0)+IF(AND(Ayarlar!$B$28=Ayarlar!$E$23,ISNUMBER(AI7)),IF(AH7="",Ayarlar!$B$11,AH7),0))*Ayarlar!$F$23,"")</f>
        <v/>
      </c>
      <c r="AT7" s="19">
        <f>IFERROR((IF(Ayarlar!$B$21=Ayarlar!$E$24,N(G7),0)+IF(Ayarlar!$B$22=Ayarlar!$E$24,N(K7),0)+IF(Ayarlar!$B$23=Ayarlar!$E$24,N(O7),0)+IF(Ayarlar!$B$24=Ayarlar!$E$24,N(S7),0)+IF(Ayarlar!$B$25=Ayarlar!$E$24,N(W7),0)+IF(Ayarlar!$B$26=Ayarlar!$E$24,N(AA7),0)+IF(Ayarlar!$B$27=Ayarlar!$E$24,N(AE7),0)+IF(Ayarlar!$B$28=Ayarlar!$E$24,N(AI7),0))/(IF(AND(Ayarlar!$B$21=Ayarlar!$E$24,ISNUMBER(G7)),IF(F7="",Ayarlar!$B$4,F7),0)+IF(AND(Ayarlar!$B$22=Ayarlar!$E$24,ISNUMBER(K7)),IF(J7="",Ayarlar!$B$5,J7),0)+IF(AND(Ayarlar!$B$23=Ayarlar!$E$24,ISNUMBER(O7)),IF(N7="",Ayarlar!$B$6,N7),0)+IF(AND(Ayarlar!$B$24=Ayarlar!$E$24,ISNUMBER(S7)),IF(R7="",Ayarlar!$B$7,R7),0)+IF(AND(Ayarlar!$B$25=Ayarlar!$E$24,ISNUMBER(W7)),IF(V7="",Ayarlar!$B$8,V7),0)+IF(AND(Ayarlar!$B$26=Ayarlar!$E$24,ISNUMBER(AA7)),IF(Z7="",Ayarlar!$B$9,Z7),0)+IF(AND(Ayarlar!$B$27=Ayarlar!$E$24,ISNUMBER(AE7)),IF(AD7="",Ayarlar!$B$10,AD7),0)+IF(AND(Ayarlar!$B$28=Ayarlar!$E$24,ISNUMBER(AI7)),IF(AH7="",Ayarlar!$B$11,AH7),0))*Ayarlar!$F$24,"")</f>
        <v/>
      </c>
      <c r="AU7" s="20">
        <f>IF(COUNT(AQ7,AR7,AS7,AT7)&lt;4,"",Ayarlar!$F$25+AQ7*Ayarlar!$G$21+AR7*Ayarlar!$G$22+AS7*Ayarlar!$G$23+AT7*Ayarlar!$G$24)</f>
        <v/>
      </c>
    </row>
    <row r="8">
      <c r="A8" s="10" t="n">
        <v>4</v>
      </c>
      <c r="B8" s="11" t="n"/>
      <c r="C8" s="4" t="n"/>
      <c r="D8" s="12" t="n"/>
      <c r="E8" s="12" t="n"/>
      <c r="F8" s="13" t="n"/>
      <c r="G8" s="14">
        <f>IF(AND(D8="",E8=""),"",D8-IF(Ayarlar!$B$16&gt;0,E8/Ayarlar!$B$16,0))</f>
        <v/>
      </c>
      <c r="H8" s="12" t="n"/>
      <c r="I8" s="12" t="n"/>
      <c r="J8" s="13" t="n"/>
      <c r="K8" s="14">
        <f>IF(AND(H8="",I8=""),"",H8-IF(Ayarlar!$B$16&gt;0,I8/Ayarlar!$B$16,0))</f>
        <v/>
      </c>
      <c r="L8" s="12" t="n"/>
      <c r="M8" s="12" t="n"/>
      <c r="N8" s="13" t="n"/>
      <c r="O8" s="14">
        <f>IF(AND(L8="",M8=""),"",L8-IF(Ayarlar!$B$16&gt;0,M8/Ayarlar!$B$16,0))</f>
        <v/>
      </c>
      <c r="P8" s="12" t="n"/>
      <c r="Q8" s="12" t="n"/>
      <c r="R8" s="13" t="n"/>
      <c r="S8" s="14">
        <f>IF(AND(P8="",Q8=""),"",P8-IF(Ayarlar!$B$16&gt;0,Q8/Ayarlar!$B$16,0))</f>
        <v/>
      </c>
      <c r="T8" s="12" t="n"/>
      <c r="U8" s="12" t="n"/>
      <c r="V8" s="13" t="n"/>
      <c r="W8" s="14">
        <f>IF(AND(T8="",U8=""),"",T8-IF(Ayarlar!$B$16&gt;0,U8/Ayarlar!$B$16,0))</f>
        <v/>
      </c>
      <c r="X8" s="12" t="n"/>
      <c r="Y8" s="12" t="n"/>
      <c r="Z8" s="13" t="n"/>
      <c r="AA8" s="14">
        <f>IF(AND(X8="",Y8=""),"",X8-IF(Ayarlar!$B$16&gt;0,Y8/Ayarlar!$B$16,0))</f>
        <v/>
      </c>
      <c r="AB8" s="12" t="n"/>
      <c r="AC8" s="12" t="n"/>
      <c r="AD8" s="13" t="n"/>
      <c r="AE8" s="14">
        <f>IF(AND(AB8="",AC8=""),"",AB8-IF(Ayarlar!$B$16&gt;0,AC8/Ayarlar!$B$16,0))</f>
        <v/>
      </c>
      <c r="AF8" s="12" t="n"/>
      <c r="AG8" s="12" t="n"/>
      <c r="AH8" s="13" t="n"/>
      <c r="AI8" s="14">
        <f>IF(AND(AF8="",AG8=""),"",AF8-IF(Ayarlar!$B$16&gt;0,AG8/Ayarlar!$B$16,0))</f>
        <v/>
      </c>
      <c r="AJ8" s="15">
        <f>IF(COUNT(D8,E8,H8,I8,L8,M8,P8,Q8,T8,U8,X8,Y8,AB8,AC8,AF8,AG8)=0,"",D8+H8+L8+P8+T8+X8+AB8+AF8)</f>
        <v/>
      </c>
      <c r="AK8" s="15">
        <f>IF(COUNT(D8,E8,H8,I8,L8,M8,P8,Q8,T8,U8,X8,Y8,AB8,AC8,AF8,AG8)=0,"",E8+I8+M8+Q8+U8+Y8+AC8+AG8)</f>
        <v/>
      </c>
      <c r="AL8" s="15">
        <f>IF(COUNT(D8,E8,H8,I8,L8,M8,P8,Q8,T8,U8,X8,Y8,AB8,AC8,AF8,AG8)=0,"",IF(ISNUMBER(G8),IF(F8="",Ayarlar!$B$4,F8),0)+IF(ISNUMBER(K8),IF(J8="",Ayarlar!$B$5,J8),0)+IF(ISNUMBER(O8),IF(N8="",Ayarlar!$B$6,N8),0)+IF(ISNUMBER(S8),IF(R8="",Ayarlar!$B$7,R8),0)+IF(ISNUMBER(W8),IF(V8="",Ayarlar!$B$8,V8),0)+IF(ISNUMBER(AA8),IF(Z8="",Ayarlar!$B$9,Z8),0)+IF(ISNUMBER(AE8),IF(AD8="",Ayarlar!$B$10,AD8),0)+IF(ISNUMBER(AI8),IF(AH8="",Ayarlar!$B$11,AH8),0))</f>
        <v/>
      </c>
      <c r="AM8" s="15">
        <f>IF(COUNT(D8,E8,H8,I8,L8,M8,P8,Q8,T8,U8,X8,Y8,AB8,AC8,AF8,AG8)=0,"",AL8-AJ8-AK8)</f>
        <v/>
      </c>
      <c r="AN8" s="16">
        <f>IF(COUNT(D8,E8,H8,I8,L8,M8,P8,Q8,T8,U8,X8,Y8,AB8,AC8,AF8,AG8)=0,"",SUM(G8,K8,O8,S8,W8,AA8,AE8,AI8))</f>
        <v/>
      </c>
      <c r="AO8" s="17">
        <f>IF(OR(COUNT(D8,E8,H8,I8,L8,M8,P8,Q8,T8,U8,X8,Y8,AB8,AC8,AF8,AG8)=0,N(AL8)=0),"",AN8/AL8)</f>
        <v/>
      </c>
      <c r="AP8" s="18">
        <f>IF(OR(AO8="",AO7=""),"",AO8-AO7)</f>
        <v/>
      </c>
      <c r="AQ8" s="19">
        <f>IFERROR((IF(Ayarlar!$B$21=Ayarlar!$E$21,N(G8),0)+IF(Ayarlar!$B$22=Ayarlar!$E$21,N(K8),0)+IF(Ayarlar!$B$23=Ayarlar!$E$21,N(O8),0)+IF(Ayarlar!$B$24=Ayarlar!$E$21,N(S8),0)+IF(Ayarlar!$B$25=Ayarlar!$E$21,N(W8),0)+IF(Ayarlar!$B$26=Ayarlar!$E$21,N(AA8),0)+IF(Ayarlar!$B$27=Ayarlar!$E$21,N(AE8),0)+IF(Ayarlar!$B$28=Ayarlar!$E$21,N(AI8),0))/(IF(AND(Ayarlar!$B$21=Ayarlar!$E$21,ISNUMBER(G8)),IF(F8="",Ayarlar!$B$4,F8),0)+IF(AND(Ayarlar!$B$22=Ayarlar!$E$21,ISNUMBER(K8)),IF(J8="",Ayarlar!$B$5,J8),0)+IF(AND(Ayarlar!$B$23=Ayarlar!$E$21,ISNUMBER(O8)),IF(N8="",Ayarlar!$B$6,N8),0)+IF(AND(Ayarlar!$B$24=Ayarlar!$E$21,ISNUMBER(S8)),IF(R8="",Ayarlar!$B$7,R8),0)+IF(AND(Ayarlar!$B$25=Ayarlar!$E$21,ISNUMBER(W8)),IF(V8="",Ayarlar!$B$8,V8),0)+IF(AND(Ayarlar!$B$26=Ayarlar!$E$21,ISNUMBER(AA8)),IF(Z8="",Ayarlar!$B$9,Z8),0)+IF(AND(Ayarlar!$B$27=Ayarlar!$E$21,ISNUMBER(AE8)),IF(AD8="",Ayarlar!$B$10,AD8),0)+IF(AND(Ayarlar!$B$28=Ayarlar!$E$21,ISNUMBER(AI8)),IF(AH8="",Ayarlar!$B$11,AH8),0))*Ayarlar!$F$21,"")</f>
        <v/>
      </c>
      <c r="AR8" s="19">
        <f>IFERROR((IF(Ayarlar!$B$21=Ayarlar!$E$22,N(G8),0)+IF(Ayarlar!$B$22=Ayarlar!$E$22,N(K8),0)+IF(Ayarlar!$B$23=Ayarlar!$E$22,N(O8),0)+IF(Ayarlar!$B$24=Ayarlar!$E$22,N(S8),0)+IF(Ayarlar!$B$25=Ayarlar!$E$22,N(W8),0)+IF(Ayarlar!$B$26=Ayarlar!$E$22,N(AA8),0)+IF(Ayarlar!$B$27=Ayarlar!$E$22,N(AE8),0)+IF(Ayarlar!$B$28=Ayarlar!$E$22,N(AI8),0))/(IF(AND(Ayarlar!$B$21=Ayarlar!$E$22,ISNUMBER(G8)),IF(F8="",Ayarlar!$B$4,F8),0)+IF(AND(Ayarlar!$B$22=Ayarlar!$E$22,ISNUMBER(K8)),IF(J8="",Ayarlar!$B$5,J8),0)+IF(AND(Ayarlar!$B$23=Ayarlar!$E$22,ISNUMBER(O8)),IF(N8="",Ayarlar!$B$6,N8),0)+IF(AND(Ayarlar!$B$24=Ayarlar!$E$22,ISNUMBER(S8)),IF(R8="",Ayarlar!$B$7,R8),0)+IF(AND(Ayarlar!$B$25=Ayarlar!$E$22,ISNUMBER(W8)),IF(V8="",Ayarlar!$B$8,V8),0)+IF(AND(Ayarlar!$B$26=Ayarlar!$E$22,ISNUMBER(AA8)),IF(Z8="",Ayarlar!$B$9,Z8),0)+IF(AND(Ayarlar!$B$27=Ayarlar!$E$22,ISNUMBER(AE8)),IF(AD8="",Ayarlar!$B$10,AD8),0)+IF(AND(Ayarlar!$B$28=Ayarlar!$E$22,ISNUMBER(AI8)),IF(AH8="",Ayarlar!$B$11,AH8),0))*Ayarlar!$F$22,"")</f>
        <v/>
      </c>
      <c r="AS8" s="19">
        <f>IFERROR((IF(Ayarlar!$B$21=Ayarlar!$E$23,N(G8),0)+IF(Ayarlar!$B$22=Ayarlar!$E$23,N(K8),0)+IF(Ayarlar!$B$23=Ayarlar!$E$23,N(O8),0)+IF(Ayarlar!$B$24=Ayarlar!$E$23,N(S8),0)+IF(Ayarlar!$B$25=Ayarlar!$E$23,N(W8),0)+IF(Ayarlar!$B$26=Ayarlar!$E$23,N(AA8),0)+IF(Ayarlar!$B$27=Ayarlar!$E$23,N(AE8),0)+IF(Ayarlar!$B$28=Ayarlar!$E$23,N(AI8),0))/(IF(AND(Ayarlar!$B$21=Ayarlar!$E$23,ISNUMBER(G8)),IF(F8="",Ayarlar!$B$4,F8),0)+IF(AND(Ayarlar!$B$22=Ayarlar!$E$23,ISNUMBER(K8)),IF(J8="",Ayarlar!$B$5,J8),0)+IF(AND(Ayarlar!$B$23=Ayarlar!$E$23,ISNUMBER(O8)),IF(N8="",Ayarlar!$B$6,N8),0)+IF(AND(Ayarlar!$B$24=Ayarlar!$E$23,ISNUMBER(S8)),IF(R8="",Ayarlar!$B$7,R8),0)+IF(AND(Ayarlar!$B$25=Ayarlar!$E$23,ISNUMBER(W8)),IF(V8="",Ayarlar!$B$8,V8),0)+IF(AND(Ayarlar!$B$26=Ayarlar!$E$23,ISNUMBER(AA8)),IF(Z8="",Ayarlar!$B$9,Z8),0)+IF(AND(Ayarlar!$B$27=Ayarlar!$E$23,ISNUMBER(AE8)),IF(AD8="",Ayarlar!$B$10,AD8),0)+IF(AND(Ayarlar!$B$28=Ayarlar!$E$23,ISNUMBER(AI8)),IF(AH8="",Ayarlar!$B$11,AH8),0))*Ayarlar!$F$23,"")</f>
        <v/>
      </c>
      <c r="AT8" s="19">
        <f>IFERROR((IF(Ayarlar!$B$21=Ayarlar!$E$24,N(G8),0)+IF(Ayarlar!$B$22=Ayarlar!$E$24,N(K8),0)+IF(Ayarlar!$B$23=Ayarlar!$E$24,N(O8),0)+IF(Ayarlar!$B$24=Ayarlar!$E$24,N(S8),0)+IF(Ayarlar!$B$25=Ayarlar!$E$24,N(W8),0)+IF(Ayarlar!$B$26=Ayarlar!$E$24,N(AA8),0)+IF(Ayarlar!$B$27=Ayarlar!$E$24,N(AE8),0)+IF(Ayarlar!$B$28=Ayarlar!$E$24,N(AI8),0))/(IF(AND(Ayarlar!$B$21=Ayarlar!$E$24,ISNUMBER(G8)),IF(F8="",Ayarlar!$B$4,F8),0)+IF(AND(Ayarlar!$B$22=Ayarlar!$E$24,ISNUMBER(K8)),IF(J8="",Ayarlar!$B$5,J8),0)+IF(AND(Ayarlar!$B$23=Ayarlar!$E$24,ISNUMBER(O8)),IF(N8="",Ayarlar!$B$6,N8),0)+IF(AND(Ayarlar!$B$24=Ayarlar!$E$24,ISNUMBER(S8)),IF(R8="",Ayarlar!$B$7,R8),0)+IF(AND(Ayarlar!$B$25=Ayarlar!$E$24,ISNUMBER(W8)),IF(V8="",Ayarlar!$B$8,V8),0)+IF(AND(Ayarlar!$B$26=Ayarlar!$E$24,ISNUMBER(AA8)),IF(Z8="",Ayarlar!$B$9,Z8),0)+IF(AND(Ayarlar!$B$27=Ayarlar!$E$24,ISNUMBER(AE8)),IF(AD8="",Ayarlar!$B$10,AD8),0)+IF(AND(Ayarlar!$B$28=Ayarlar!$E$24,ISNUMBER(AI8)),IF(AH8="",Ayarlar!$B$11,AH8),0))*Ayarlar!$F$24,"")</f>
        <v/>
      </c>
      <c r="AU8" s="20">
        <f>IF(COUNT(AQ8,AR8,AS8,AT8)&lt;4,"",Ayarlar!$F$25+AQ8*Ayarlar!$G$21+AR8*Ayarlar!$G$22+AS8*Ayarlar!$G$23+AT8*Ayarlar!$G$24)</f>
        <v/>
      </c>
    </row>
    <row r="9">
      <c r="A9" s="10" t="n">
        <v>5</v>
      </c>
      <c r="B9" s="11" t="n"/>
      <c r="C9" s="4" t="n"/>
      <c r="D9" s="12" t="n"/>
      <c r="E9" s="12" t="n"/>
      <c r="F9" s="13" t="n"/>
      <c r="G9" s="14">
        <f>IF(AND(D9="",E9=""),"",D9-IF(Ayarlar!$B$16&gt;0,E9/Ayarlar!$B$16,0))</f>
        <v/>
      </c>
      <c r="H9" s="12" t="n"/>
      <c r="I9" s="12" t="n"/>
      <c r="J9" s="13" t="n"/>
      <c r="K9" s="14">
        <f>IF(AND(H9="",I9=""),"",H9-IF(Ayarlar!$B$16&gt;0,I9/Ayarlar!$B$16,0))</f>
        <v/>
      </c>
      <c r="L9" s="12" t="n"/>
      <c r="M9" s="12" t="n"/>
      <c r="N9" s="13" t="n"/>
      <c r="O9" s="14">
        <f>IF(AND(L9="",M9=""),"",L9-IF(Ayarlar!$B$16&gt;0,M9/Ayarlar!$B$16,0))</f>
        <v/>
      </c>
      <c r="P9" s="12" t="n"/>
      <c r="Q9" s="12" t="n"/>
      <c r="R9" s="13" t="n"/>
      <c r="S9" s="14">
        <f>IF(AND(P9="",Q9=""),"",P9-IF(Ayarlar!$B$16&gt;0,Q9/Ayarlar!$B$16,0))</f>
        <v/>
      </c>
      <c r="T9" s="12" t="n"/>
      <c r="U9" s="12" t="n"/>
      <c r="V9" s="13" t="n"/>
      <c r="W9" s="14">
        <f>IF(AND(T9="",U9=""),"",T9-IF(Ayarlar!$B$16&gt;0,U9/Ayarlar!$B$16,0))</f>
        <v/>
      </c>
      <c r="X9" s="12" t="n"/>
      <c r="Y9" s="12" t="n"/>
      <c r="Z9" s="13" t="n"/>
      <c r="AA9" s="14">
        <f>IF(AND(X9="",Y9=""),"",X9-IF(Ayarlar!$B$16&gt;0,Y9/Ayarlar!$B$16,0))</f>
        <v/>
      </c>
      <c r="AB9" s="12" t="n"/>
      <c r="AC9" s="12" t="n"/>
      <c r="AD9" s="13" t="n"/>
      <c r="AE9" s="14">
        <f>IF(AND(AB9="",AC9=""),"",AB9-IF(Ayarlar!$B$16&gt;0,AC9/Ayarlar!$B$16,0))</f>
        <v/>
      </c>
      <c r="AF9" s="12" t="n"/>
      <c r="AG9" s="12" t="n"/>
      <c r="AH9" s="13" t="n"/>
      <c r="AI9" s="14">
        <f>IF(AND(AF9="",AG9=""),"",AF9-IF(Ayarlar!$B$16&gt;0,AG9/Ayarlar!$B$16,0))</f>
        <v/>
      </c>
      <c r="AJ9" s="15">
        <f>IF(COUNT(D9,E9,H9,I9,L9,M9,P9,Q9,T9,U9,X9,Y9,AB9,AC9,AF9,AG9)=0,"",D9+H9+L9+P9+T9+X9+AB9+AF9)</f>
        <v/>
      </c>
      <c r="AK9" s="15">
        <f>IF(COUNT(D9,E9,H9,I9,L9,M9,P9,Q9,T9,U9,X9,Y9,AB9,AC9,AF9,AG9)=0,"",E9+I9+M9+Q9+U9+Y9+AC9+AG9)</f>
        <v/>
      </c>
      <c r="AL9" s="15">
        <f>IF(COUNT(D9,E9,H9,I9,L9,M9,P9,Q9,T9,U9,X9,Y9,AB9,AC9,AF9,AG9)=0,"",IF(ISNUMBER(G9),IF(F9="",Ayarlar!$B$4,F9),0)+IF(ISNUMBER(K9),IF(J9="",Ayarlar!$B$5,J9),0)+IF(ISNUMBER(O9),IF(N9="",Ayarlar!$B$6,N9),0)+IF(ISNUMBER(S9),IF(R9="",Ayarlar!$B$7,R9),0)+IF(ISNUMBER(W9),IF(V9="",Ayarlar!$B$8,V9),0)+IF(ISNUMBER(AA9),IF(Z9="",Ayarlar!$B$9,Z9),0)+IF(ISNUMBER(AE9),IF(AD9="",Ayarlar!$B$10,AD9),0)+IF(ISNUMBER(AI9),IF(AH9="",Ayarlar!$B$11,AH9),0))</f>
        <v/>
      </c>
      <c r="AM9" s="15">
        <f>IF(COUNT(D9,E9,H9,I9,L9,M9,P9,Q9,T9,U9,X9,Y9,AB9,AC9,AF9,AG9)=0,"",AL9-AJ9-AK9)</f>
        <v/>
      </c>
      <c r="AN9" s="16">
        <f>IF(COUNT(D9,E9,H9,I9,L9,M9,P9,Q9,T9,U9,X9,Y9,AB9,AC9,AF9,AG9)=0,"",SUM(G9,K9,O9,S9,W9,AA9,AE9,AI9))</f>
        <v/>
      </c>
      <c r="AO9" s="17">
        <f>IF(OR(COUNT(D9,E9,H9,I9,L9,M9,P9,Q9,T9,U9,X9,Y9,AB9,AC9,AF9,AG9)=0,N(AL9)=0),"",AN9/AL9)</f>
        <v/>
      </c>
      <c r="AP9" s="18">
        <f>IF(OR(AO9="",AO8=""),"",AO9-AO8)</f>
        <v/>
      </c>
      <c r="AQ9" s="19">
        <f>IFERROR((IF(Ayarlar!$B$21=Ayarlar!$E$21,N(G9),0)+IF(Ayarlar!$B$22=Ayarlar!$E$21,N(K9),0)+IF(Ayarlar!$B$23=Ayarlar!$E$21,N(O9),0)+IF(Ayarlar!$B$24=Ayarlar!$E$21,N(S9),0)+IF(Ayarlar!$B$25=Ayarlar!$E$21,N(W9),0)+IF(Ayarlar!$B$26=Ayarlar!$E$21,N(AA9),0)+IF(Ayarlar!$B$27=Ayarlar!$E$21,N(AE9),0)+IF(Ayarlar!$B$28=Ayarlar!$E$21,N(AI9),0))/(IF(AND(Ayarlar!$B$21=Ayarlar!$E$21,ISNUMBER(G9)),IF(F9="",Ayarlar!$B$4,F9),0)+IF(AND(Ayarlar!$B$22=Ayarlar!$E$21,ISNUMBER(K9)),IF(J9="",Ayarlar!$B$5,J9),0)+IF(AND(Ayarlar!$B$23=Ayarlar!$E$21,ISNUMBER(O9)),IF(N9="",Ayarlar!$B$6,N9),0)+IF(AND(Ayarlar!$B$24=Ayarlar!$E$21,ISNUMBER(S9)),IF(R9="",Ayarlar!$B$7,R9),0)+IF(AND(Ayarlar!$B$25=Ayarlar!$E$21,ISNUMBER(W9)),IF(V9="",Ayarlar!$B$8,V9),0)+IF(AND(Ayarlar!$B$26=Ayarlar!$E$21,ISNUMBER(AA9)),IF(Z9="",Ayarlar!$B$9,Z9),0)+IF(AND(Ayarlar!$B$27=Ayarlar!$E$21,ISNUMBER(AE9)),IF(AD9="",Ayarlar!$B$10,AD9),0)+IF(AND(Ayarlar!$B$28=Ayarlar!$E$21,ISNUMBER(AI9)),IF(AH9="",Ayarlar!$B$11,AH9),0))*Ayarlar!$F$21,"")</f>
        <v/>
      </c>
      <c r="AR9" s="19">
        <f>IFERROR((IF(Ayarlar!$B$21=Ayarlar!$E$22,N(G9),0)+IF(Ayarlar!$B$22=Ayarlar!$E$22,N(K9),0)+IF(Ayarlar!$B$23=Ayarlar!$E$22,N(O9),0)+IF(Ayarlar!$B$24=Ayarlar!$E$22,N(S9),0)+IF(Ayarlar!$B$25=Ayarlar!$E$22,N(W9),0)+IF(Ayarlar!$B$26=Ayarlar!$E$22,N(AA9),0)+IF(Ayarlar!$B$27=Ayarlar!$E$22,N(AE9),0)+IF(Ayarlar!$B$28=Ayarlar!$E$22,N(AI9),0))/(IF(AND(Ayarlar!$B$21=Ayarlar!$E$22,ISNUMBER(G9)),IF(F9="",Ayarlar!$B$4,F9),0)+IF(AND(Ayarlar!$B$22=Ayarlar!$E$22,ISNUMBER(K9)),IF(J9="",Ayarlar!$B$5,J9),0)+IF(AND(Ayarlar!$B$23=Ayarlar!$E$22,ISNUMBER(O9)),IF(N9="",Ayarlar!$B$6,N9),0)+IF(AND(Ayarlar!$B$24=Ayarlar!$E$22,ISNUMBER(S9)),IF(R9="",Ayarlar!$B$7,R9),0)+IF(AND(Ayarlar!$B$25=Ayarlar!$E$22,ISNUMBER(W9)),IF(V9="",Ayarlar!$B$8,V9),0)+IF(AND(Ayarlar!$B$26=Ayarlar!$E$22,ISNUMBER(AA9)),IF(Z9="",Ayarlar!$B$9,Z9),0)+IF(AND(Ayarlar!$B$27=Ayarlar!$E$22,ISNUMBER(AE9)),IF(AD9="",Ayarlar!$B$10,AD9),0)+IF(AND(Ayarlar!$B$28=Ayarlar!$E$22,ISNUMBER(AI9)),IF(AH9="",Ayarlar!$B$11,AH9),0))*Ayarlar!$F$22,"")</f>
        <v/>
      </c>
      <c r="AS9" s="19">
        <f>IFERROR((IF(Ayarlar!$B$21=Ayarlar!$E$23,N(G9),0)+IF(Ayarlar!$B$22=Ayarlar!$E$23,N(K9),0)+IF(Ayarlar!$B$23=Ayarlar!$E$23,N(O9),0)+IF(Ayarlar!$B$24=Ayarlar!$E$23,N(S9),0)+IF(Ayarlar!$B$25=Ayarlar!$E$23,N(W9),0)+IF(Ayarlar!$B$26=Ayarlar!$E$23,N(AA9),0)+IF(Ayarlar!$B$27=Ayarlar!$E$23,N(AE9),0)+IF(Ayarlar!$B$28=Ayarlar!$E$23,N(AI9),0))/(IF(AND(Ayarlar!$B$21=Ayarlar!$E$23,ISNUMBER(G9)),IF(F9="",Ayarlar!$B$4,F9),0)+IF(AND(Ayarlar!$B$22=Ayarlar!$E$23,ISNUMBER(K9)),IF(J9="",Ayarlar!$B$5,J9),0)+IF(AND(Ayarlar!$B$23=Ayarlar!$E$23,ISNUMBER(O9)),IF(N9="",Ayarlar!$B$6,N9),0)+IF(AND(Ayarlar!$B$24=Ayarlar!$E$23,ISNUMBER(S9)),IF(R9="",Ayarlar!$B$7,R9),0)+IF(AND(Ayarlar!$B$25=Ayarlar!$E$23,ISNUMBER(W9)),IF(V9="",Ayarlar!$B$8,V9),0)+IF(AND(Ayarlar!$B$26=Ayarlar!$E$23,ISNUMBER(AA9)),IF(Z9="",Ayarlar!$B$9,Z9),0)+IF(AND(Ayarlar!$B$27=Ayarlar!$E$23,ISNUMBER(AE9)),IF(AD9="",Ayarlar!$B$10,AD9),0)+IF(AND(Ayarlar!$B$28=Ayarlar!$E$23,ISNUMBER(AI9)),IF(AH9="",Ayarlar!$B$11,AH9),0))*Ayarlar!$F$23,"")</f>
        <v/>
      </c>
      <c r="AT9" s="19">
        <f>IFERROR((IF(Ayarlar!$B$21=Ayarlar!$E$24,N(G9),0)+IF(Ayarlar!$B$22=Ayarlar!$E$24,N(K9),0)+IF(Ayarlar!$B$23=Ayarlar!$E$24,N(O9),0)+IF(Ayarlar!$B$24=Ayarlar!$E$24,N(S9),0)+IF(Ayarlar!$B$25=Ayarlar!$E$24,N(W9),0)+IF(Ayarlar!$B$26=Ayarlar!$E$24,N(AA9),0)+IF(Ayarlar!$B$27=Ayarlar!$E$24,N(AE9),0)+IF(Ayarlar!$B$28=Ayarlar!$E$24,N(AI9),0))/(IF(AND(Ayarlar!$B$21=Ayarlar!$E$24,ISNUMBER(G9)),IF(F9="",Ayarlar!$B$4,F9),0)+IF(AND(Ayarlar!$B$22=Ayarlar!$E$24,ISNUMBER(K9)),IF(J9="",Ayarlar!$B$5,J9),0)+IF(AND(Ayarlar!$B$23=Ayarlar!$E$24,ISNUMBER(O9)),IF(N9="",Ayarlar!$B$6,N9),0)+IF(AND(Ayarlar!$B$24=Ayarlar!$E$24,ISNUMBER(S9)),IF(R9="",Ayarlar!$B$7,R9),0)+IF(AND(Ayarlar!$B$25=Ayarlar!$E$24,ISNUMBER(W9)),IF(V9="",Ayarlar!$B$8,V9),0)+IF(AND(Ayarlar!$B$26=Ayarlar!$E$24,ISNUMBER(AA9)),IF(Z9="",Ayarlar!$B$9,Z9),0)+IF(AND(Ayarlar!$B$27=Ayarlar!$E$24,ISNUMBER(AE9)),IF(AD9="",Ayarlar!$B$10,AD9),0)+IF(AND(Ayarlar!$B$28=Ayarlar!$E$24,ISNUMBER(AI9)),IF(AH9="",Ayarlar!$B$11,AH9),0))*Ayarlar!$F$24,"")</f>
        <v/>
      </c>
      <c r="AU9" s="20">
        <f>IF(COUNT(AQ9,AR9,AS9,AT9)&lt;4,"",Ayarlar!$F$25+AQ9*Ayarlar!$G$21+AR9*Ayarlar!$G$22+AS9*Ayarlar!$G$23+AT9*Ayarlar!$G$24)</f>
        <v/>
      </c>
    </row>
    <row r="10">
      <c r="A10" s="10" t="n">
        <v>6</v>
      </c>
      <c r="B10" s="11" t="n"/>
      <c r="C10" s="4" t="n"/>
      <c r="D10" s="12" t="n"/>
      <c r="E10" s="12" t="n"/>
      <c r="F10" s="13" t="n"/>
      <c r="G10" s="14">
        <f>IF(AND(D10="",E10=""),"",D10-IF(Ayarlar!$B$16&gt;0,E10/Ayarlar!$B$16,0))</f>
        <v/>
      </c>
      <c r="H10" s="12" t="n"/>
      <c r="I10" s="12" t="n"/>
      <c r="J10" s="13" t="n"/>
      <c r="K10" s="14">
        <f>IF(AND(H10="",I10=""),"",H10-IF(Ayarlar!$B$16&gt;0,I10/Ayarlar!$B$16,0))</f>
        <v/>
      </c>
      <c r="L10" s="12" t="n"/>
      <c r="M10" s="12" t="n"/>
      <c r="N10" s="13" t="n"/>
      <c r="O10" s="14">
        <f>IF(AND(L10="",M10=""),"",L10-IF(Ayarlar!$B$16&gt;0,M10/Ayarlar!$B$16,0))</f>
        <v/>
      </c>
      <c r="P10" s="12" t="n"/>
      <c r="Q10" s="12" t="n"/>
      <c r="R10" s="13" t="n"/>
      <c r="S10" s="14">
        <f>IF(AND(P10="",Q10=""),"",P10-IF(Ayarlar!$B$16&gt;0,Q10/Ayarlar!$B$16,0))</f>
        <v/>
      </c>
      <c r="T10" s="12" t="n"/>
      <c r="U10" s="12" t="n"/>
      <c r="V10" s="13" t="n"/>
      <c r="W10" s="14">
        <f>IF(AND(T10="",U10=""),"",T10-IF(Ayarlar!$B$16&gt;0,U10/Ayarlar!$B$16,0))</f>
        <v/>
      </c>
      <c r="X10" s="12" t="n"/>
      <c r="Y10" s="12" t="n"/>
      <c r="Z10" s="13" t="n"/>
      <c r="AA10" s="14">
        <f>IF(AND(X10="",Y10=""),"",X10-IF(Ayarlar!$B$16&gt;0,Y10/Ayarlar!$B$16,0))</f>
        <v/>
      </c>
      <c r="AB10" s="12" t="n"/>
      <c r="AC10" s="12" t="n"/>
      <c r="AD10" s="13" t="n"/>
      <c r="AE10" s="14">
        <f>IF(AND(AB10="",AC10=""),"",AB10-IF(Ayarlar!$B$16&gt;0,AC10/Ayarlar!$B$16,0))</f>
        <v/>
      </c>
      <c r="AF10" s="12" t="n"/>
      <c r="AG10" s="12" t="n"/>
      <c r="AH10" s="13" t="n"/>
      <c r="AI10" s="14">
        <f>IF(AND(AF10="",AG10=""),"",AF10-IF(Ayarlar!$B$16&gt;0,AG10/Ayarlar!$B$16,0))</f>
        <v/>
      </c>
      <c r="AJ10" s="15">
        <f>IF(COUNT(D10,E10,H10,I10,L10,M10,P10,Q10,T10,U10,X10,Y10,AB10,AC10,AF10,AG10)=0,"",D10+H10+L10+P10+T10+X10+AB10+AF10)</f>
        <v/>
      </c>
      <c r="AK10" s="15">
        <f>IF(COUNT(D10,E10,H10,I10,L10,M10,P10,Q10,T10,U10,X10,Y10,AB10,AC10,AF10,AG10)=0,"",E10+I10+M10+Q10+U10+Y10+AC10+AG10)</f>
        <v/>
      </c>
      <c r="AL10" s="15">
        <f>IF(COUNT(D10,E10,H10,I10,L10,M10,P10,Q10,T10,U10,X10,Y10,AB10,AC10,AF10,AG10)=0,"",IF(ISNUMBER(G10),IF(F10="",Ayarlar!$B$4,F10),0)+IF(ISNUMBER(K10),IF(J10="",Ayarlar!$B$5,J10),0)+IF(ISNUMBER(O10),IF(N10="",Ayarlar!$B$6,N10),0)+IF(ISNUMBER(S10),IF(R10="",Ayarlar!$B$7,R10),0)+IF(ISNUMBER(W10),IF(V10="",Ayarlar!$B$8,V10),0)+IF(ISNUMBER(AA10),IF(Z10="",Ayarlar!$B$9,Z10),0)+IF(ISNUMBER(AE10),IF(AD10="",Ayarlar!$B$10,AD10),0)+IF(ISNUMBER(AI10),IF(AH10="",Ayarlar!$B$11,AH10),0))</f>
        <v/>
      </c>
      <c r="AM10" s="15">
        <f>IF(COUNT(D10,E10,H10,I10,L10,M10,P10,Q10,T10,U10,X10,Y10,AB10,AC10,AF10,AG10)=0,"",AL10-AJ10-AK10)</f>
        <v/>
      </c>
      <c r="AN10" s="16">
        <f>IF(COUNT(D10,E10,H10,I10,L10,M10,P10,Q10,T10,U10,X10,Y10,AB10,AC10,AF10,AG10)=0,"",SUM(G10,K10,O10,S10,W10,AA10,AE10,AI10))</f>
        <v/>
      </c>
      <c r="AO10" s="17">
        <f>IF(OR(COUNT(D10,E10,H10,I10,L10,M10,P10,Q10,T10,U10,X10,Y10,AB10,AC10,AF10,AG10)=0,N(AL10)=0),"",AN10/AL10)</f>
        <v/>
      </c>
      <c r="AP10" s="18">
        <f>IF(OR(AO10="",AO9=""),"",AO10-AO9)</f>
        <v/>
      </c>
      <c r="AQ10" s="19">
        <f>IFERROR((IF(Ayarlar!$B$21=Ayarlar!$E$21,N(G10),0)+IF(Ayarlar!$B$22=Ayarlar!$E$21,N(K10),0)+IF(Ayarlar!$B$23=Ayarlar!$E$21,N(O10),0)+IF(Ayarlar!$B$24=Ayarlar!$E$21,N(S10),0)+IF(Ayarlar!$B$25=Ayarlar!$E$21,N(W10),0)+IF(Ayarlar!$B$26=Ayarlar!$E$21,N(AA10),0)+IF(Ayarlar!$B$27=Ayarlar!$E$21,N(AE10),0)+IF(Ayarlar!$B$28=Ayarlar!$E$21,N(AI10),0))/(IF(AND(Ayarlar!$B$21=Ayarlar!$E$21,ISNUMBER(G10)),IF(F10="",Ayarlar!$B$4,F10),0)+IF(AND(Ayarlar!$B$22=Ayarlar!$E$21,ISNUMBER(K10)),IF(J10="",Ayarlar!$B$5,J10),0)+IF(AND(Ayarlar!$B$23=Ayarlar!$E$21,ISNUMBER(O10)),IF(N10="",Ayarlar!$B$6,N10),0)+IF(AND(Ayarlar!$B$24=Ayarlar!$E$21,ISNUMBER(S10)),IF(R10="",Ayarlar!$B$7,R10),0)+IF(AND(Ayarlar!$B$25=Ayarlar!$E$21,ISNUMBER(W10)),IF(V10="",Ayarlar!$B$8,V10),0)+IF(AND(Ayarlar!$B$26=Ayarlar!$E$21,ISNUMBER(AA10)),IF(Z10="",Ayarlar!$B$9,Z10),0)+IF(AND(Ayarlar!$B$27=Ayarlar!$E$21,ISNUMBER(AE10)),IF(AD10="",Ayarlar!$B$10,AD10),0)+IF(AND(Ayarlar!$B$28=Ayarlar!$E$21,ISNUMBER(AI10)),IF(AH10="",Ayarlar!$B$11,AH10),0))*Ayarlar!$F$21,"")</f>
        <v/>
      </c>
      <c r="AR10" s="19">
        <f>IFERROR((IF(Ayarlar!$B$21=Ayarlar!$E$22,N(G10),0)+IF(Ayarlar!$B$22=Ayarlar!$E$22,N(K10),0)+IF(Ayarlar!$B$23=Ayarlar!$E$22,N(O10),0)+IF(Ayarlar!$B$24=Ayarlar!$E$22,N(S10),0)+IF(Ayarlar!$B$25=Ayarlar!$E$22,N(W10),0)+IF(Ayarlar!$B$26=Ayarlar!$E$22,N(AA10),0)+IF(Ayarlar!$B$27=Ayarlar!$E$22,N(AE10),0)+IF(Ayarlar!$B$28=Ayarlar!$E$22,N(AI10),0))/(IF(AND(Ayarlar!$B$21=Ayarlar!$E$22,ISNUMBER(G10)),IF(F10="",Ayarlar!$B$4,F10),0)+IF(AND(Ayarlar!$B$22=Ayarlar!$E$22,ISNUMBER(K10)),IF(J10="",Ayarlar!$B$5,J10),0)+IF(AND(Ayarlar!$B$23=Ayarlar!$E$22,ISNUMBER(O10)),IF(N10="",Ayarlar!$B$6,N10),0)+IF(AND(Ayarlar!$B$24=Ayarlar!$E$22,ISNUMBER(S10)),IF(R10="",Ayarlar!$B$7,R10),0)+IF(AND(Ayarlar!$B$25=Ayarlar!$E$22,ISNUMBER(W10)),IF(V10="",Ayarlar!$B$8,V10),0)+IF(AND(Ayarlar!$B$26=Ayarlar!$E$22,ISNUMBER(AA10)),IF(Z10="",Ayarlar!$B$9,Z10),0)+IF(AND(Ayarlar!$B$27=Ayarlar!$E$22,ISNUMBER(AE10)),IF(AD10="",Ayarlar!$B$10,AD10),0)+IF(AND(Ayarlar!$B$28=Ayarlar!$E$22,ISNUMBER(AI10)),IF(AH10="",Ayarlar!$B$11,AH10),0))*Ayarlar!$F$22,"")</f>
        <v/>
      </c>
      <c r="AS10" s="19">
        <f>IFERROR((IF(Ayarlar!$B$21=Ayarlar!$E$23,N(G10),0)+IF(Ayarlar!$B$22=Ayarlar!$E$23,N(K10),0)+IF(Ayarlar!$B$23=Ayarlar!$E$23,N(O10),0)+IF(Ayarlar!$B$24=Ayarlar!$E$23,N(S10),0)+IF(Ayarlar!$B$25=Ayarlar!$E$23,N(W10),0)+IF(Ayarlar!$B$26=Ayarlar!$E$23,N(AA10),0)+IF(Ayarlar!$B$27=Ayarlar!$E$23,N(AE10),0)+IF(Ayarlar!$B$28=Ayarlar!$E$23,N(AI10),0))/(IF(AND(Ayarlar!$B$21=Ayarlar!$E$23,ISNUMBER(G10)),IF(F10="",Ayarlar!$B$4,F10),0)+IF(AND(Ayarlar!$B$22=Ayarlar!$E$23,ISNUMBER(K10)),IF(J10="",Ayarlar!$B$5,J10),0)+IF(AND(Ayarlar!$B$23=Ayarlar!$E$23,ISNUMBER(O10)),IF(N10="",Ayarlar!$B$6,N10),0)+IF(AND(Ayarlar!$B$24=Ayarlar!$E$23,ISNUMBER(S10)),IF(R10="",Ayarlar!$B$7,R10),0)+IF(AND(Ayarlar!$B$25=Ayarlar!$E$23,ISNUMBER(W10)),IF(V10="",Ayarlar!$B$8,V10),0)+IF(AND(Ayarlar!$B$26=Ayarlar!$E$23,ISNUMBER(AA10)),IF(Z10="",Ayarlar!$B$9,Z10),0)+IF(AND(Ayarlar!$B$27=Ayarlar!$E$23,ISNUMBER(AE10)),IF(AD10="",Ayarlar!$B$10,AD10),0)+IF(AND(Ayarlar!$B$28=Ayarlar!$E$23,ISNUMBER(AI10)),IF(AH10="",Ayarlar!$B$11,AH10),0))*Ayarlar!$F$23,"")</f>
        <v/>
      </c>
      <c r="AT10" s="19">
        <f>IFERROR((IF(Ayarlar!$B$21=Ayarlar!$E$24,N(G10),0)+IF(Ayarlar!$B$22=Ayarlar!$E$24,N(K10),0)+IF(Ayarlar!$B$23=Ayarlar!$E$24,N(O10),0)+IF(Ayarlar!$B$24=Ayarlar!$E$24,N(S10),0)+IF(Ayarlar!$B$25=Ayarlar!$E$24,N(W10),0)+IF(Ayarlar!$B$26=Ayarlar!$E$24,N(AA10),0)+IF(Ayarlar!$B$27=Ayarlar!$E$24,N(AE10),0)+IF(Ayarlar!$B$28=Ayarlar!$E$24,N(AI10),0))/(IF(AND(Ayarlar!$B$21=Ayarlar!$E$24,ISNUMBER(G10)),IF(F10="",Ayarlar!$B$4,F10),0)+IF(AND(Ayarlar!$B$22=Ayarlar!$E$24,ISNUMBER(K10)),IF(J10="",Ayarlar!$B$5,J10),0)+IF(AND(Ayarlar!$B$23=Ayarlar!$E$24,ISNUMBER(O10)),IF(N10="",Ayarlar!$B$6,N10),0)+IF(AND(Ayarlar!$B$24=Ayarlar!$E$24,ISNUMBER(S10)),IF(R10="",Ayarlar!$B$7,R10),0)+IF(AND(Ayarlar!$B$25=Ayarlar!$E$24,ISNUMBER(W10)),IF(V10="",Ayarlar!$B$8,V10),0)+IF(AND(Ayarlar!$B$26=Ayarlar!$E$24,ISNUMBER(AA10)),IF(Z10="",Ayarlar!$B$9,Z10),0)+IF(AND(Ayarlar!$B$27=Ayarlar!$E$24,ISNUMBER(AE10)),IF(AD10="",Ayarlar!$B$10,AD10),0)+IF(AND(Ayarlar!$B$28=Ayarlar!$E$24,ISNUMBER(AI10)),IF(AH10="",Ayarlar!$B$11,AH10),0))*Ayarlar!$F$24,"")</f>
        <v/>
      </c>
      <c r="AU10" s="20">
        <f>IF(COUNT(AQ10,AR10,AS10,AT10)&lt;4,"",Ayarlar!$F$25+AQ10*Ayarlar!$G$21+AR10*Ayarlar!$G$22+AS10*Ayarlar!$G$23+AT10*Ayarlar!$G$24)</f>
        <v/>
      </c>
    </row>
    <row r="11">
      <c r="A11" s="10" t="n">
        <v>7</v>
      </c>
      <c r="B11" s="11" t="n"/>
      <c r="C11" s="4" t="n"/>
      <c r="D11" s="12" t="n"/>
      <c r="E11" s="12" t="n"/>
      <c r="F11" s="13" t="n"/>
      <c r="G11" s="14">
        <f>IF(AND(D11="",E11=""),"",D11-IF(Ayarlar!$B$16&gt;0,E11/Ayarlar!$B$16,0))</f>
        <v/>
      </c>
      <c r="H11" s="12" t="n"/>
      <c r="I11" s="12" t="n"/>
      <c r="J11" s="13" t="n"/>
      <c r="K11" s="14">
        <f>IF(AND(H11="",I11=""),"",H11-IF(Ayarlar!$B$16&gt;0,I11/Ayarlar!$B$16,0))</f>
        <v/>
      </c>
      <c r="L11" s="12" t="n"/>
      <c r="M11" s="12" t="n"/>
      <c r="N11" s="13" t="n"/>
      <c r="O11" s="14">
        <f>IF(AND(L11="",M11=""),"",L11-IF(Ayarlar!$B$16&gt;0,M11/Ayarlar!$B$16,0))</f>
        <v/>
      </c>
      <c r="P11" s="12" t="n"/>
      <c r="Q11" s="12" t="n"/>
      <c r="R11" s="13" t="n"/>
      <c r="S11" s="14">
        <f>IF(AND(P11="",Q11=""),"",P11-IF(Ayarlar!$B$16&gt;0,Q11/Ayarlar!$B$16,0))</f>
        <v/>
      </c>
      <c r="T11" s="12" t="n"/>
      <c r="U11" s="12" t="n"/>
      <c r="V11" s="13" t="n"/>
      <c r="W11" s="14">
        <f>IF(AND(T11="",U11=""),"",T11-IF(Ayarlar!$B$16&gt;0,U11/Ayarlar!$B$16,0))</f>
        <v/>
      </c>
      <c r="X11" s="12" t="n"/>
      <c r="Y11" s="12" t="n"/>
      <c r="Z11" s="13" t="n"/>
      <c r="AA11" s="14">
        <f>IF(AND(X11="",Y11=""),"",X11-IF(Ayarlar!$B$16&gt;0,Y11/Ayarlar!$B$16,0))</f>
        <v/>
      </c>
      <c r="AB11" s="12" t="n"/>
      <c r="AC11" s="12" t="n"/>
      <c r="AD11" s="13" t="n"/>
      <c r="AE11" s="14">
        <f>IF(AND(AB11="",AC11=""),"",AB11-IF(Ayarlar!$B$16&gt;0,AC11/Ayarlar!$B$16,0))</f>
        <v/>
      </c>
      <c r="AF11" s="12" t="n"/>
      <c r="AG11" s="12" t="n"/>
      <c r="AH11" s="13" t="n"/>
      <c r="AI11" s="14">
        <f>IF(AND(AF11="",AG11=""),"",AF11-IF(Ayarlar!$B$16&gt;0,AG11/Ayarlar!$B$16,0))</f>
        <v/>
      </c>
      <c r="AJ11" s="15">
        <f>IF(COUNT(D11,E11,H11,I11,L11,M11,P11,Q11,T11,U11,X11,Y11,AB11,AC11,AF11,AG11)=0,"",D11+H11+L11+P11+T11+X11+AB11+AF11)</f>
        <v/>
      </c>
      <c r="AK11" s="15">
        <f>IF(COUNT(D11,E11,H11,I11,L11,M11,P11,Q11,T11,U11,X11,Y11,AB11,AC11,AF11,AG11)=0,"",E11+I11+M11+Q11+U11+Y11+AC11+AG11)</f>
        <v/>
      </c>
      <c r="AL11" s="15">
        <f>IF(COUNT(D11,E11,H11,I11,L11,M11,P11,Q11,T11,U11,X11,Y11,AB11,AC11,AF11,AG11)=0,"",IF(ISNUMBER(G11),IF(F11="",Ayarlar!$B$4,F11),0)+IF(ISNUMBER(K11),IF(J11="",Ayarlar!$B$5,J11),0)+IF(ISNUMBER(O11),IF(N11="",Ayarlar!$B$6,N11),0)+IF(ISNUMBER(S11),IF(R11="",Ayarlar!$B$7,R11),0)+IF(ISNUMBER(W11),IF(V11="",Ayarlar!$B$8,V11),0)+IF(ISNUMBER(AA11),IF(Z11="",Ayarlar!$B$9,Z11),0)+IF(ISNUMBER(AE11),IF(AD11="",Ayarlar!$B$10,AD11),0)+IF(ISNUMBER(AI11),IF(AH11="",Ayarlar!$B$11,AH11),0))</f>
        <v/>
      </c>
      <c r="AM11" s="15">
        <f>IF(COUNT(D11,E11,H11,I11,L11,M11,P11,Q11,T11,U11,X11,Y11,AB11,AC11,AF11,AG11)=0,"",AL11-AJ11-AK11)</f>
        <v/>
      </c>
      <c r="AN11" s="16">
        <f>IF(COUNT(D11,E11,H11,I11,L11,M11,P11,Q11,T11,U11,X11,Y11,AB11,AC11,AF11,AG11)=0,"",SUM(G11,K11,O11,S11,W11,AA11,AE11,AI11))</f>
        <v/>
      </c>
      <c r="AO11" s="17">
        <f>IF(OR(COUNT(D11,E11,H11,I11,L11,M11,P11,Q11,T11,U11,X11,Y11,AB11,AC11,AF11,AG11)=0,N(AL11)=0),"",AN11/AL11)</f>
        <v/>
      </c>
      <c r="AP11" s="18">
        <f>IF(OR(AO11="",AO10=""),"",AO11-AO10)</f>
        <v/>
      </c>
      <c r="AQ11" s="19">
        <f>IFERROR((IF(Ayarlar!$B$21=Ayarlar!$E$21,N(G11),0)+IF(Ayarlar!$B$22=Ayarlar!$E$21,N(K11),0)+IF(Ayarlar!$B$23=Ayarlar!$E$21,N(O11),0)+IF(Ayarlar!$B$24=Ayarlar!$E$21,N(S11),0)+IF(Ayarlar!$B$25=Ayarlar!$E$21,N(W11),0)+IF(Ayarlar!$B$26=Ayarlar!$E$21,N(AA11),0)+IF(Ayarlar!$B$27=Ayarlar!$E$21,N(AE11),0)+IF(Ayarlar!$B$28=Ayarlar!$E$21,N(AI11),0))/(IF(AND(Ayarlar!$B$21=Ayarlar!$E$21,ISNUMBER(G11)),IF(F11="",Ayarlar!$B$4,F11),0)+IF(AND(Ayarlar!$B$22=Ayarlar!$E$21,ISNUMBER(K11)),IF(J11="",Ayarlar!$B$5,J11),0)+IF(AND(Ayarlar!$B$23=Ayarlar!$E$21,ISNUMBER(O11)),IF(N11="",Ayarlar!$B$6,N11),0)+IF(AND(Ayarlar!$B$24=Ayarlar!$E$21,ISNUMBER(S11)),IF(R11="",Ayarlar!$B$7,R11),0)+IF(AND(Ayarlar!$B$25=Ayarlar!$E$21,ISNUMBER(W11)),IF(V11="",Ayarlar!$B$8,V11),0)+IF(AND(Ayarlar!$B$26=Ayarlar!$E$21,ISNUMBER(AA11)),IF(Z11="",Ayarlar!$B$9,Z11),0)+IF(AND(Ayarlar!$B$27=Ayarlar!$E$21,ISNUMBER(AE11)),IF(AD11="",Ayarlar!$B$10,AD11),0)+IF(AND(Ayarlar!$B$28=Ayarlar!$E$21,ISNUMBER(AI11)),IF(AH11="",Ayarlar!$B$11,AH11),0))*Ayarlar!$F$21,"")</f>
        <v/>
      </c>
      <c r="AR11" s="19">
        <f>IFERROR((IF(Ayarlar!$B$21=Ayarlar!$E$22,N(G11),0)+IF(Ayarlar!$B$22=Ayarlar!$E$22,N(K11),0)+IF(Ayarlar!$B$23=Ayarlar!$E$22,N(O11),0)+IF(Ayarlar!$B$24=Ayarlar!$E$22,N(S11),0)+IF(Ayarlar!$B$25=Ayarlar!$E$22,N(W11),0)+IF(Ayarlar!$B$26=Ayarlar!$E$22,N(AA11),0)+IF(Ayarlar!$B$27=Ayarlar!$E$22,N(AE11),0)+IF(Ayarlar!$B$28=Ayarlar!$E$22,N(AI11),0))/(IF(AND(Ayarlar!$B$21=Ayarlar!$E$22,ISNUMBER(G11)),IF(F11="",Ayarlar!$B$4,F11),0)+IF(AND(Ayarlar!$B$22=Ayarlar!$E$22,ISNUMBER(K11)),IF(J11="",Ayarlar!$B$5,J11),0)+IF(AND(Ayarlar!$B$23=Ayarlar!$E$22,ISNUMBER(O11)),IF(N11="",Ayarlar!$B$6,N11),0)+IF(AND(Ayarlar!$B$24=Ayarlar!$E$22,ISNUMBER(S11)),IF(R11="",Ayarlar!$B$7,R11),0)+IF(AND(Ayarlar!$B$25=Ayarlar!$E$22,ISNUMBER(W11)),IF(V11="",Ayarlar!$B$8,V11),0)+IF(AND(Ayarlar!$B$26=Ayarlar!$E$22,ISNUMBER(AA11)),IF(Z11="",Ayarlar!$B$9,Z11),0)+IF(AND(Ayarlar!$B$27=Ayarlar!$E$22,ISNUMBER(AE11)),IF(AD11="",Ayarlar!$B$10,AD11),0)+IF(AND(Ayarlar!$B$28=Ayarlar!$E$22,ISNUMBER(AI11)),IF(AH11="",Ayarlar!$B$11,AH11),0))*Ayarlar!$F$22,"")</f>
        <v/>
      </c>
      <c r="AS11" s="19">
        <f>IFERROR((IF(Ayarlar!$B$21=Ayarlar!$E$23,N(G11),0)+IF(Ayarlar!$B$22=Ayarlar!$E$23,N(K11),0)+IF(Ayarlar!$B$23=Ayarlar!$E$23,N(O11),0)+IF(Ayarlar!$B$24=Ayarlar!$E$23,N(S11),0)+IF(Ayarlar!$B$25=Ayarlar!$E$23,N(W11),0)+IF(Ayarlar!$B$26=Ayarlar!$E$23,N(AA11),0)+IF(Ayarlar!$B$27=Ayarlar!$E$23,N(AE11),0)+IF(Ayarlar!$B$28=Ayarlar!$E$23,N(AI11),0))/(IF(AND(Ayarlar!$B$21=Ayarlar!$E$23,ISNUMBER(G11)),IF(F11="",Ayarlar!$B$4,F11),0)+IF(AND(Ayarlar!$B$22=Ayarlar!$E$23,ISNUMBER(K11)),IF(J11="",Ayarlar!$B$5,J11),0)+IF(AND(Ayarlar!$B$23=Ayarlar!$E$23,ISNUMBER(O11)),IF(N11="",Ayarlar!$B$6,N11),0)+IF(AND(Ayarlar!$B$24=Ayarlar!$E$23,ISNUMBER(S11)),IF(R11="",Ayarlar!$B$7,R11),0)+IF(AND(Ayarlar!$B$25=Ayarlar!$E$23,ISNUMBER(W11)),IF(V11="",Ayarlar!$B$8,V11),0)+IF(AND(Ayarlar!$B$26=Ayarlar!$E$23,ISNUMBER(AA11)),IF(Z11="",Ayarlar!$B$9,Z11),0)+IF(AND(Ayarlar!$B$27=Ayarlar!$E$23,ISNUMBER(AE11)),IF(AD11="",Ayarlar!$B$10,AD11),0)+IF(AND(Ayarlar!$B$28=Ayarlar!$E$23,ISNUMBER(AI11)),IF(AH11="",Ayarlar!$B$11,AH11),0))*Ayarlar!$F$23,"")</f>
        <v/>
      </c>
      <c r="AT11" s="19">
        <f>IFERROR((IF(Ayarlar!$B$21=Ayarlar!$E$24,N(G11),0)+IF(Ayarlar!$B$22=Ayarlar!$E$24,N(K11),0)+IF(Ayarlar!$B$23=Ayarlar!$E$24,N(O11),0)+IF(Ayarlar!$B$24=Ayarlar!$E$24,N(S11),0)+IF(Ayarlar!$B$25=Ayarlar!$E$24,N(W11),0)+IF(Ayarlar!$B$26=Ayarlar!$E$24,N(AA11),0)+IF(Ayarlar!$B$27=Ayarlar!$E$24,N(AE11),0)+IF(Ayarlar!$B$28=Ayarlar!$E$24,N(AI11),0))/(IF(AND(Ayarlar!$B$21=Ayarlar!$E$24,ISNUMBER(G11)),IF(F11="",Ayarlar!$B$4,F11),0)+IF(AND(Ayarlar!$B$22=Ayarlar!$E$24,ISNUMBER(K11)),IF(J11="",Ayarlar!$B$5,J11),0)+IF(AND(Ayarlar!$B$23=Ayarlar!$E$24,ISNUMBER(O11)),IF(N11="",Ayarlar!$B$6,N11),0)+IF(AND(Ayarlar!$B$24=Ayarlar!$E$24,ISNUMBER(S11)),IF(R11="",Ayarlar!$B$7,R11),0)+IF(AND(Ayarlar!$B$25=Ayarlar!$E$24,ISNUMBER(W11)),IF(V11="",Ayarlar!$B$8,V11),0)+IF(AND(Ayarlar!$B$26=Ayarlar!$E$24,ISNUMBER(AA11)),IF(Z11="",Ayarlar!$B$9,Z11),0)+IF(AND(Ayarlar!$B$27=Ayarlar!$E$24,ISNUMBER(AE11)),IF(AD11="",Ayarlar!$B$10,AD11),0)+IF(AND(Ayarlar!$B$28=Ayarlar!$E$24,ISNUMBER(AI11)),IF(AH11="",Ayarlar!$B$11,AH11),0))*Ayarlar!$F$24,"")</f>
        <v/>
      </c>
      <c r="AU11" s="20">
        <f>IF(COUNT(AQ11,AR11,AS11,AT11)&lt;4,"",Ayarlar!$F$25+AQ11*Ayarlar!$G$21+AR11*Ayarlar!$G$22+AS11*Ayarlar!$G$23+AT11*Ayarlar!$G$24)</f>
        <v/>
      </c>
    </row>
    <row r="12">
      <c r="A12" s="10" t="n">
        <v>8</v>
      </c>
      <c r="B12" s="11" t="n"/>
      <c r="C12" s="4" t="n"/>
      <c r="D12" s="12" t="n"/>
      <c r="E12" s="12" t="n"/>
      <c r="F12" s="13" t="n"/>
      <c r="G12" s="14">
        <f>IF(AND(D12="",E12=""),"",D12-IF(Ayarlar!$B$16&gt;0,E12/Ayarlar!$B$16,0))</f>
        <v/>
      </c>
      <c r="H12" s="12" t="n"/>
      <c r="I12" s="12" t="n"/>
      <c r="J12" s="13" t="n"/>
      <c r="K12" s="14">
        <f>IF(AND(H12="",I12=""),"",H12-IF(Ayarlar!$B$16&gt;0,I12/Ayarlar!$B$16,0))</f>
        <v/>
      </c>
      <c r="L12" s="12" t="n"/>
      <c r="M12" s="12" t="n"/>
      <c r="N12" s="13" t="n"/>
      <c r="O12" s="14">
        <f>IF(AND(L12="",M12=""),"",L12-IF(Ayarlar!$B$16&gt;0,M12/Ayarlar!$B$16,0))</f>
        <v/>
      </c>
      <c r="P12" s="12" t="n"/>
      <c r="Q12" s="12" t="n"/>
      <c r="R12" s="13" t="n"/>
      <c r="S12" s="14">
        <f>IF(AND(P12="",Q12=""),"",P12-IF(Ayarlar!$B$16&gt;0,Q12/Ayarlar!$B$16,0))</f>
        <v/>
      </c>
      <c r="T12" s="12" t="n"/>
      <c r="U12" s="12" t="n"/>
      <c r="V12" s="13" t="n"/>
      <c r="W12" s="14">
        <f>IF(AND(T12="",U12=""),"",T12-IF(Ayarlar!$B$16&gt;0,U12/Ayarlar!$B$16,0))</f>
        <v/>
      </c>
      <c r="X12" s="12" t="n"/>
      <c r="Y12" s="12" t="n"/>
      <c r="Z12" s="13" t="n"/>
      <c r="AA12" s="14">
        <f>IF(AND(X12="",Y12=""),"",X12-IF(Ayarlar!$B$16&gt;0,Y12/Ayarlar!$B$16,0))</f>
        <v/>
      </c>
      <c r="AB12" s="12" t="n"/>
      <c r="AC12" s="12" t="n"/>
      <c r="AD12" s="13" t="n"/>
      <c r="AE12" s="14">
        <f>IF(AND(AB12="",AC12=""),"",AB12-IF(Ayarlar!$B$16&gt;0,AC12/Ayarlar!$B$16,0))</f>
        <v/>
      </c>
      <c r="AF12" s="12" t="n"/>
      <c r="AG12" s="12" t="n"/>
      <c r="AH12" s="13" t="n"/>
      <c r="AI12" s="14">
        <f>IF(AND(AF12="",AG12=""),"",AF12-IF(Ayarlar!$B$16&gt;0,AG12/Ayarlar!$B$16,0))</f>
        <v/>
      </c>
      <c r="AJ12" s="15">
        <f>IF(COUNT(D12,E12,H12,I12,L12,M12,P12,Q12,T12,U12,X12,Y12,AB12,AC12,AF12,AG12)=0,"",D12+H12+L12+P12+T12+X12+AB12+AF12)</f>
        <v/>
      </c>
      <c r="AK12" s="15">
        <f>IF(COUNT(D12,E12,H12,I12,L12,M12,P12,Q12,T12,U12,X12,Y12,AB12,AC12,AF12,AG12)=0,"",E12+I12+M12+Q12+U12+Y12+AC12+AG12)</f>
        <v/>
      </c>
      <c r="AL12" s="15">
        <f>IF(COUNT(D12,E12,H12,I12,L12,M12,P12,Q12,T12,U12,X12,Y12,AB12,AC12,AF12,AG12)=0,"",IF(ISNUMBER(G12),IF(F12="",Ayarlar!$B$4,F12),0)+IF(ISNUMBER(K12),IF(J12="",Ayarlar!$B$5,J12),0)+IF(ISNUMBER(O12),IF(N12="",Ayarlar!$B$6,N12),0)+IF(ISNUMBER(S12),IF(R12="",Ayarlar!$B$7,R12),0)+IF(ISNUMBER(W12),IF(V12="",Ayarlar!$B$8,V12),0)+IF(ISNUMBER(AA12),IF(Z12="",Ayarlar!$B$9,Z12),0)+IF(ISNUMBER(AE12),IF(AD12="",Ayarlar!$B$10,AD12),0)+IF(ISNUMBER(AI12),IF(AH12="",Ayarlar!$B$11,AH12),0))</f>
        <v/>
      </c>
      <c r="AM12" s="15">
        <f>IF(COUNT(D12,E12,H12,I12,L12,M12,P12,Q12,T12,U12,X12,Y12,AB12,AC12,AF12,AG12)=0,"",AL12-AJ12-AK12)</f>
        <v/>
      </c>
      <c r="AN12" s="16">
        <f>IF(COUNT(D12,E12,H12,I12,L12,M12,P12,Q12,T12,U12,X12,Y12,AB12,AC12,AF12,AG12)=0,"",SUM(G12,K12,O12,S12,W12,AA12,AE12,AI12))</f>
        <v/>
      </c>
      <c r="AO12" s="17">
        <f>IF(OR(COUNT(D12,E12,H12,I12,L12,M12,P12,Q12,T12,U12,X12,Y12,AB12,AC12,AF12,AG12)=0,N(AL12)=0),"",AN12/AL12)</f>
        <v/>
      </c>
      <c r="AP12" s="18">
        <f>IF(OR(AO12="",AO11=""),"",AO12-AO11)</f>
        <v/>
      </c>
      <c r="AQ12" s="19">
        <f>IFERROR((IF(Ayarlar!$B$21=Ayarlar!$E$21,N(G12),0)+IF(Ayarlar!$B$22=Ayarlar!$E$21,N(K12),0)+IF(Ayarlar!$B$23=Ayarlar!$E$21,N(O12),0)+IF(Ayarlar!$B$24=Ayarlar!$E$21,N(S12),0)+IF(Ayarlar!$B$25=Ayarlar!$E$21,N(W12),0)+IF(Ayarlar!$B$26=Ayarlar!$E$21,N(AA12),0)+IF(Ayarlar!$B$27=Ayarlar!$E$21,N(AE12),0)+IF(Ayarlar!$B$28=Ayarlar!$E$21,N(AI12),0))/(IF(AND(Ayarlar!$B$21=Ayarlar!$E$21,ISNUMBER(G12)),IF(F12="",Ayarlar!$B$4,F12),0)+IF(AND(Ayarlar!$B$22=Ayarlar!$E$21,ISNUMBER(K12)),IF(J12="",Ayarlar!$B$5,J12),0)+IF(AND(Ayarlar!$B$23=Ayarlar!$E$21,ISNUMBER(O12)),IF(N12="",Ayarlar!$B$6,N12),0)+IF(AND(Ayarlar!$B$24=Ayarlar!$E$21,ISNUMBER(S12)),IF(R12="",Ayarlar!$B$7,R12),0)+IF(AND(Ayarlar!$B$25=Ayarlar!$E$21,ISNUMBER(W12)),IF(V12="",Ayarlar!$B$8,V12),0)+IF(AND(Ayarlar!$B$26=Ayarlar!$E$21,ISNUMBER(AA12)),IF(Z12="",Ayarlar!$B$9,Z12),0)+IF(AND(Ayarlar!$B$27=Ayarlar!$E$21,ISNUMBER(AE12)),IF(AD12="",Ayarlar!$B$10,AD12),0)+IF(AND(Ayarlar!$B$28=Ayarlar!$E$21,ISNUMBER(AI12)),IF(AH12="",Ayarlar!$B$11,AH12),0))*Ayarlar!$F$21,"")</f>
        <v/>
      </c>
      <c r="AR12" s="19">
        <f>IFERROR((IF(Ayarlar!$B$21=Ayarlar!$E$22,N(G12),0)+IF(Ayarlar!$B$22=Ayarlar!$E$22,N(K12),0)+IF(Ayarlar!$B$23=Ayarlar!$E$22,N(O12),0)+IF(Ayarlar!$B$24=Ayarlar!$E$22,N(S12),0)+IF(Ayarlar!$B$25=Ayarlar!$E$22,N(W12),0)+IF(Ayarlar!$B$26=Ayarlar!$E$22,N(AA12),0)+IF(Ayarlar!$B$27=Ayarlar!$E$22,N(AE12),0)+IF(Ayarlar!$B$28=Ayarlar!$E$22,N(AI12),0))/(IF(AND(Ayarlar!$B$21=Ayarlar!$E$22,ISNUMBER(G12)),IF(F12="",Ayarlar!$B$4,F12),0)+IF(AND(Ayarlar!$B$22=Ayarlar!$E$22,ISNUMBER(K12)),IF(J12="",Ayarlar!$B$5,J12),0)+IF(AND(Ayarlar!$B$23=Ayarlar!$E$22,ISNUMBER(O12)),IF(N12="",Ayarlar!$B$6,N12),0)+IF(AND(Ayarlar!$B$24=Ayarlar!$E$22,ISNUMBER(S12)),IF(R12="",Ayarlar!$B$7,R12),0)+IF(AND(Ayarlar!$B$25=Ayarlar!$E$22,ISNUMBER(W12)),IF(V12="",Ayarlar!$B$8,V12),0)+IF(AND(Ayarlar!$B$26=Ayarlar!$E$22,ISNUMBER(AA12)),IF(Z12="",Ayarlar!$B$9,Z12),0)+IF(AND(Ayarlar!$B$27=Ayarlar!$E$22,ISNUMBER(AE12)),IF(AD12="",Ayarlar!$B$10,AD12),0)+IF(AND(Ayarlar!$B$28=Ayarlar!$E$22,ISNUMBER(AI12)),IF(AH12="",Ayarlar!$B$11,AH12),0))*Ayarlar!$F$22,"")</f>
        <v/>
      </c>
      <c r="AS12" s="19">
        <f>IFERROR((IF(Ayarlar!$B$21=Ayarlar!$E$23,N(G12),0)+IF(Ayarlar!$B$22=Ayarlar!$E$23,N(K12),0)+IF(Ayarlar!$B$23=Ayarlar!$E$23,N(O12),0)+IF(Ayarlar!$B$24=Ayarlar!$E$23,N(S12),0)+IF(Ayarlar!$B$25=Ayarlar!$E$23,N(W12),0)+IF(Ayarlar!$B$26=Ayarlar!$E$23,N(AA12),0)+IF(Ayarlar!$B$27=Ayarlar!$E$23,N(AE12),0)+IF(Ayarlar!$B$28=Ayarlar!$E$23,N(AI12),0))/(IF(AND(Ayarlar!$B$21=Ayarlar!$E$23,ISNUMBER(G12)),IF(F12="",Ayarlar!$B$4,F12),0)+IF(AND(Ayarlar!$B$22=Ayarlar!$E$23,ISNUMBER(K12)),IF(J12="",Ayarlar!$B$5,J12),0)+IF(AND(Ayarlar!$B$23=Ayarlar!$E$23,ISNUMBER(O12)),IF(N12="",Ayarlar!$B$6,N12),0)+IF(AND(Ayarlar!$B$24=Ayarlar!$E$23,ISNUMBER(S12)),IF(R12="",Ayarlar!$B$7,R12),0)+IF(AND(Ayarlar!$B$25=Ayarlar!$E$23,ISNUMBER(W12)),IF(V12="",Ayarlar!$B$8,V12),0)+IF(AND(Ayarlar!$B$26=Ayarlar!$E$23,ISNUMBER(AA12)),IF(Z12="",Ayarlar!$B$9,Z12),0)+IF(AND(Ayarlar!$B$27=Ayarlar!$E$23,ISNUMBER(AE12)),IF(AD12="",Ayarlar!$B$10,AD12),0)+IF(AND(Ayarlar!$B$28=Ayarlar!$E$23,ISNUMBER(AI12)),IF(AH12="",Ayarlar!$B$11,AH12),0))*Ayarlar!$F$23,"")</f>
        <v/>
      </c>
      <c r="AT12" s="19">
        <f>IFERROR((IF(Ayarlar!$B$21=Ayarlar!$E$24,N(G12),0)+IF(Ayarlar!$B$22=Ayarlar!$E$24,N(K12),0)+IF(Ayarlar!$B$23=Ayarlar!$E$24,N(O12),0)+IF(Ayarlar!$B$24=Ayarlar!$E$24,N(S12),0)+IF(Ayarlar!$B$25=Ayarlar!$E$24,N(W12),0)+IF(Ayarlar!$B$26=Ayarlar!$E$24,N(AA12),0)+IF(Ayarlar!$B$27=Ayarlar!$E$24,N(AE12),0)+IF(Ayarlar!$B$28=Ayarlar!$E$24,N(AI12),0))/(IF(AND(Ayarlar!$B$21=Ayarlar!$E$24,ISNUMBER(G12)),IF(F12="",Ayarlar!$B$4,F12),0)+IF(AND(Ayarlar!$B$22=Ayarlar!$E$24,ISNUMBER(K12)),IF(J12="",Ayarlar!$B$5,J12),0)+IF(AND(Ayarlar!$B$23=Ayarlar!$E$24,ISNUMBER(O12)),IF(N12="",Ayarlar!$B$6,N12),0)+IF(AND(Ayarlar!$B$24=Ayarlar!$E$24,ISNUMBER(S12)),IF(R12="",Ayarlar!$B$7,R12),0)+IF(AND(Ayarlar!$B$25=Ayarlar!$E$24,ISNUMBER(W12)),IF(V12="",Ayarlar!$B$8,V12),0)+IF(AND(Ayarlar!$B$26=Ayarlar!$E$24,ISNUMBER(AA12)),IF(Z12="",Ayarlar!$B$9,Z12),0)+IF(AND(Ayarlar!$B$27=Ayarlar!$E$24,ISNUMBER(AE12)),IF(AD12="",Ayarlar!$B$10,AD12),0)+IF(AND(Ayarlar!$B$28=Ayarlar!$E$24,ISNUMBER(AI12)),IF(AH12="",Ayarlar!$B$11,AH12),0))*Ayarlar!$F$24,"")</f>
        <v/>
      </c>
      <c r="AU12" s="20">
        <f>IF(COUNT(AQ12,AR12,AS12,AT12)&lt;4,"",Ayarlar!$F$25+AQ12*Ayarlar!$G$21+AR12*Ayarlar!$G$22+AS12*Ayarlar!$G$23+AT12*Ayarlar!$G$24)</f>
        <v/>
      </c>
    </row>
    <row r="13">
      <c r="A13" s="10" t="n">
        <v>9</v>
      </c>
      <c r="B13" s="11" t="n"/>
      <c r="C13" s="4" t="n"/>
      <c r="D13" s="12" t="n"/>
      <c r="E13" s="12" t="n"/>
      <c r="F13" s="13" t="n"/>
      <c r="G13" s="14">
        <f>IF(AND(D13="",E13=""),"",D13-IF(Ayarlar!$B$16&gt;0,E13/Ayarlar!$B$16,0))</f>
        <v/>
      </c>
      <c r="H13" s="12" t="n"/>
      <c r="I13" s="12" t="n"/>
      <c r="J13" s="13" t="n"/>
      <c r="K13" s="14">
        <f>IF(AND(H13="",I13=""),"",H13-IF(Ayarlar!$B$16&gt;0,I13/Ayarlar!$B$16,0))</f>
        <v/>
      </c>
      <c r="L13" s="12" t="n"/>
      <c r="M13" s="12" t="n"/>
      <c r="N13" s="13" t="n"/>
      <c r="O13" s="14">
        <f>IF(AND(L13="",M13=""),"",L13-IF(Ayarlar!$B$16&gt;0,M13/Ayarlar!$B$16,0))</f>
        <v/>
      </c>
      <c r="P13" s="12" t="n"/>
      <c r="Q13" s="12" t="n"/>
      <c r="R13" s="13" t="n"/>
      <c r="S13" s="14">
        <f>IF(AND(P13="",Q13=""),"",P13-IF(Ayarlar!$B$16&gt;0,Q13/Ayarlar!$B$16,0))</f>
        <v/>
      </c>
      <c r="T13" s="12" t="n"/>
      <c r="U13" s="12" t="n"/>
      <c r="V13" s="13" t="n"/>
      <c r="W13" s="14">
        <f>IF(AND(T13="",U13=""),"",T13-IF(Ayarlar!$B$16&gt;0,U13/Ayarlar!$B$16,0))</f>
        <v/>
      </c>
      <c r="X13" s="12" t="n"/>
      <c r="Y13" s="12" t="n"/>
      <c r="Z13" s="13" t="n"/>
      <c r="AA13" s="14">
        <f>IF(AND(X13="",Y13=""),"",X13-IF(Ayarlar!$B$16&gt;0,Y13/Ayarlar!$B$16,0))</f>
        <v/>
      </c>
      <c r="AB13" s="12" t="n"/>
      <c r="AC13" s="12" t="n"/>
      <c r="AD13" s="13" t="n"/>
      <c r="AE13" s="14">
        <f>IF(AND(AB13="",AC13=""),"",AB13-IF(Ayarlar!$B$16&gt;0,AC13/Ayarlar!$B$16,0))</f>
        <v/>
      </c>
      <c r="AF13" s="12" t="n"/>
      <c r="AG13" s="12" t="n"/>
      <c r="AH13" s="13" t="n"/>
      <c r="AI13" s="14">
        <f>IF(AND(AF13="",AG13=""),"",AF13-IF(Ayarlar!$B$16&gt;0,AG13/Ayarlar!$B$16,0))</f>
        <v/>
      </c>
      <c r="AJ13" s="15">
        <f>IF(COUNT(D13,E13,H13,I13,L13,M13,P13,Q13,T13,U13,X13,Y13,AB13,AC13,AF13,AG13)=0,"",D13+H13+L13+P13+T13+X13+AB13+AF13)</f>
        <v/>
      </c>
      <c r="AK13" s="15">
        <f>IF(COUNT(D13,E13,H13,I13,L13,M13,P13,Q13,T13,U13,X13,Y13,AB13,AC13,AF13,AG13)=0,"",E13+I13+M13+Q13+U13+Y13+AC13+AG13)</f>
        <v/>
      </c>
      <c r="AL13" s="15">
        <f>IF(COUNT(D13,E13,H13,I13,L13,M13,P13,Q13,T13,U13,X13,Y13,AB13,AC13,AF13,AG13)=0,"",IF(ISNUMBER(G13),IF(F13="",Ayarlar!$B$4,F13),0)+IF(ISNUMBER(K13),IF(J13="",Ayarlar!$B$5,J13),0)+IF(ISNUMBER(O13),IF(N13="",Ayarlar!$B$6,N13),0)+IF(ISNUMBER(S13),IF(R13="",Ayarlar!$B$7,R13),0)+IF(ISNUMBER(W13),IF(V13="",Ayarlar!$B$8,V13),0)+IF(ISNUMBER(AA13),IF(Z13="",Ayarlar!$B$9,Z13),0)+IF(ISNUMBER(AE13),IF(AD13="",Ayarlar!$B$10,AD13),0)+IF(ISNUMBER(AI13),IF(AH13="",Ayarlar!$B$11,AH13),0))</f>
        <v/>
      </c>
      <c r="AM13" s="15">
        <f>IF(COUNT(D13,E13,H13,I13,L13,M13,P13,Q13,T13,U13,X13,Y13,AB13,AC13,AF13,AG13)=0,"",AL13-AJ13-AK13)</f>
        <v/>
      </c>
      <c r="AN13" s="16">
        <f>IF(COUNT(D13,E13,H13,I13,L13,M13,P13,Q13,T13,U13,X13,Y13,AB13,AC13,AF13,AG13)=0,"",SUM(G13,K13,O13,S13,W13,AA13,AE13,AI13))</f>
        <v/>
      </c>
      <c r="AO13" s="17">
        <f>IF(OR(COUNT(D13,E13,H13,I13,L13,M13,P13,Q13,T13,U13,X13,Y13,AB13,AC13,AF13,AG13)=0,N(AL13)=0),"",AN13/AL13)</f>
        <v/>
      </c>
      <c r="AP13" s="18">
        <f>IF(OR(AO13="",AO12=""),"",AO13-AO12)</f>
        <v/>
      </c>
      <c r="AQ13" s="19">
        <f>IFERROR((IF(Ayarlar!$B$21=Ayarlar!$E$21,N(G13),0)+IF(Ayarlar!$B$22=Ayarlar!$E$21,N(K13),0)+IF(Ayarlar!$B$23=Ayarlar!$E$21,N(O13),0)+IF(Ayarlar!$B$24=Ayarlar!$E$21,N(S13),0)+IF(Ayarlar!$B$25=Ayarlar!$E$21,N(W13),0)+IF(Ayarlar!$B$26=Ayarlar!$E$21,N(AA13),0)+IF(Ayarlar!$B$27=Ayarlar!$E$21,N(AE13),0)+IF(Ayarlar!$B$28=Ayarlar!$E$21,N(AI13),0))/(IF(AND(Ayarlar!$B$21=Ayarlar!$E$21,ISNUMBER(G13)),IF(F13="",Ayarlar!$B$4,F13),0)+IF(AND(Ayarlar!$B$22=Ayarlar!$E$21,ISNUMBER(K13)),IF(J13="",Ayarlar!$B$5,J13),0)+IF(AND(Ayarlar!$B$23=Ayarlar!$E$21,ISNUMBER(O13)),IF(N13="",Ayarlar!$B$6,N13),0)+IF(AND(Ayarlar!$B$24=Ayarlar!$E$21,ISNUMBER(S13)),IF(R13="",Ayarlar!$B$7,R13),0)+IF(AND(Ayarlar!$B$25=Ayarlar!$E$21,ISNUMBER(W13)),IF(V13="",Ayarlar!$B$8,V13),0)+IF(AND(Ayarlar!$B$26=Ayarlar!$E$21,ISNUMBER(AA13)),IF(Z13="",Ayarlar!$B$9,Z13),0)+IF(AND(Ayarlar!$B$27=Ayarlar!$E$21,ISNUMBER(AE13)),IF(AD13="",Ayarlar!$B$10,AD13),0)+IF(AND(Ayarlar!$B$28=Ayarlar!$E$21,ISNUMBER(AI13)),IF(AH13="",Ayarlar!$B$11,AH13),0))*Ayarlar!$F$21,"")</f>
        <v/>
      </c>
      <c r="AR13" s="19">
        <f>IFERROR((IF(Ayarlar!$B$21=Ayarlar!$E$22,N(G13),0)+IF(Ayarlar!$B$22=Ayarlar!$E$22,N(K13),0)+IF(Ayarlar!$B$23=Ayarlar!$E$22,N(O13),0)+IF(Ayarlar!$B$24=Ayarlar!$E$22,N(S13),0)+IF(Ayarlar!$B$25=Ayarlar!$E$22,N(W13),0)+IF(Ayarlar!$B$26=Ayarlar!$E$22,N(AA13),0)+IF(Ayarlar!$B$27=Ayarlar!$E$22,N(AE13),0)+IF(Ayarlar!$B$28=Ayarlar!$E$22,N(AI13),0))/(IF(AND(Ayarlar!$B$21=Ayarlar!$E$22,ISNUMBER(G13)),IF(F13="",Ayarlar!$B$4,F13),0)+IF(AND(Ayarlar!$B$22=Ayarlar!$E$22,ISNUMBER(K13)),IF(J13="",Ayarlar!$B$5,J13),0)+IF(AND(Ayarlar!$B$23=Ayarlar!$E$22,ISNUMBER(O13)),IF(N13="",Ayarlar!$B$6,N13),0)+IF(AND(Ayarlar!$B$24=Ayarlar!$E$22,ISNUMBER(S13)),IF(R13="",Ayarlar!$B$7,R13),0)+IF(AND(Ayarlar!$B$25=Ayarlar!$E$22,ISNUMBER(W13)),IF(V13="",Ayarlar!$B$8,V13),0)+IF(AND(Ayarlar!$B$26=Ayarlar!$E$22,ISNUMBER(AA13)),IF(Z13="",Ayarlar!$B$9,Z13),0)+IF(AND(Ayarlar!$B$27=Ayarlar!$E$22,ISNUMBER(AE13)),IF(AD13="",Ayarlar!$B$10,AD13),0)+IF(AND(Ayarlar!$B$28=Ayarlar!$E$22,ISNUMBER(AI13)),IF(AH13="",Ayarlar!$B$11,AH13),0))*Ayarlar!$F$22,"")</f>
        <v/>
      </c>
      <c r="AS13" s="19">
        <f>IFERROR((IF(Ayarlar!$B$21=Ayarlar!$E$23,N(G13),0)+IF(Ayarlar!$B$22=Ayarlar!$E$23,N(K13),0)+IF(Ayarlar!$B$23=Ayarlar!$E$23,N(O13),0)+IF(Ayarlar!$B$24=Ayarlar!$E$23,N(S13),0)+IF(Ayarlar!$B$25=Ayarlar!$E$23,N(W13),0)+IF(Ayarlar!$B$26=Ayarlar!$E$23,N(AA13),0)+IF(Ayarlar!$B$27=Ayarlar!$E$23,N(AE13),0)+IF(Ayarlar!$B$28=Ayarlar!$E$23,N(AI13),0))/(IF(AND(Ayarlar!$B$21=Ayarlar!$E$23,ISNUMBER(G13)),IF(F13="",Ayarlar!$B$4,F13),0)+IF(AND(Ayarlar!$B$22=Ayarlar!$E$23,ISNUMBER(K13)),IF(J13="",Ayarlar!$B$5,J13),0)+IF(AND(Ayarlar!$B$23=Ayarlar!$E$23,ISNUMBER(O13)),IF(N13="",Ayarlar!$B$6,N13),0)+IF(AND(Ayarlar!$B$24=Ayarlar!$E$23,ISNUMBER(S13)),IF(R13="",Ayarlar!$B$7,R13),0)+IF(AND(Ayarlar!$B$25=Ayarlar!$E$23,ISNUMBER(W13)),IF(V13="",Ayarlar!$B$8,V13),0)+IF(AND(Ayarlar!$B$26=Ayarlar!$E$23,ISNUMBER(AA13)),IF(Z13="",Ayarlar!$B$9,Z13),0)+IF(AND(Ayarlar!$B$27=Ayarlar!$E$23,ISNUMBER(AE13)),IF(AD13="",Ayarlar!$B$10,AD13),0)+IF(AND(Ayarlar!$B$28=Ayarlar!$E$23,ISNUMBER(AI13)),IF(AH13="",Ayarlar!$B$11,AH13),0))*Ayarlar!$F$23,"")</f>
        <v/>
      </c>
      <c r="AT13" s="19">
        <f>IFERROR((IF(Ayarlar!$B$21=Ayarlar!$E$24,N(G13),0)+IF(Ayarlar!$B$22=Ayarlar!$E$24,N(K13),0)+IF(Ayarlar!$B$23=Ayarlar!$E$24,N(O13),0)+IF(Ayarlar!$B$24=Ayarlar!$E$24,N(S13),0)+IF(Ayarlar!$B$25=Ayarlar!$E$24,N(W13),0)+IF(Ayarlar!$B$26=Ayarlar!$E$24,N(AA13),0)+IF(Ayarlar!$B$27=Ayarlar!$E$24,N(AE13),0)+IF(Ayarlar!$B$28=Ayarlar!$E$24,N(AI13),0))/(IF(AND(Ayarlar!$B$21=Ayarlar!$E$24,ISNUMBER(G13)),IF(F13="",Ayarlar!$B$4,F13),0)+IF(AND(Ayarlar!$B$22=Ayarlar!$E$24,ISNUMBER(K13)),IF(J13="",Ayarlar!$B$5,J13),0)+IF(AND(Ayarlar!$B$23=Ayarlar!$E$24,ISNUMBER(O13)),IF(N13="",Ayarlar!$B$6,N13),0)+IF(AND(Ayarlar!$B$24=Ayarlar!$E$24,ISNUMBER(S13)),IF(R13="",Ayarlar!$B$7,R13),0)+IF(AND(Ayarlar!$B$25=Ayarlar!$E$24,ISNUMBER(W13)),IF(V13="",Ayarlar!$B$8,V13),0)+IF(AND(Ayarlar!$B$26=Ayarlar!$E$24,ISNUMBER(AA13)),IF(Z13="",Ayarlar!$B$9,Z13),0)+IF(AND(Ayarlar!$B$27=Ayarlar!$E$24,ISNUMBER(AE13)),IF(AD13="",Ayarlar!$B$10,AD13),0)+IF(AND(Ayarlar!$B$28=Ayarlar!$E$24,ISNUMBER(AI13)),IF(AH13="",Ayarlar!$B$11,AH13),0))*Ayarlar!$F$24,"")</f>
        <v/>
      </c>
      <c r="AU13" s="20">
        <f>IF(COUNT(AQ13,AR13,AS13,AT13)&lt;4,"",Ayarlar!$F$25+AQ13*Ayarlar!$G$21+AR13*Ayarlar!$G$22+AS13*Ayarlar!$G$23+AT13*Ayarlar!$G$24)</f>
        <v/>
      </c>
    </row>
    <row r="14">
      <c r="A14" s="10" t="n">
        <v>10</v>
      </c>
      <c r="B14" s="11" t="n"/>
      <c r="C14" s="4" t="n"/>
      <c r="D14" s="12" t="n"/>
      <c r="E14" s="12" t="n"/>
      <c r="F14" s="13" t="n"/>
      <c r="G14" s="14">
        <f>IF(AND(D14="",E14=""),"",D14-IF(Ayarlar!$B$16&gt;0,E14/Ayarlar!$B$16,0))</f>
        <v/>
      </c>
      <c r="H14" s="12" t="n"/>
      <c r="I14" s="12" t="n"/>
      <c r="J14" s="13" t="n"/>
      <c r="K14" s="14">
        <f>IF(AND(H14="",I14=""),"",H14-IF(Ayarlar!$B$16&gt;0,I14/Ayarlar!$B$16,0))</f>
        <v/>
      </c>
      <c r="L14" s="12" t="n"/>
      <c r="M14" s="12" t="n"/>
      <c r="N14" s="13" t="n"/>
      <c r="O14" s="14">
        <f>IF(AND(L14="",M14=""),"",L14-IF(Ayarlar!$B$16&gt;0,M14/Ayarlar!$B$16,0))</f>
        <v/>
      </c>
      <c r="P14" s="12" t="n"/>
      <c r="Q14" s="12" t="n"/>
      <c r="R14" s="13" t="n"/>
      <c r="S14" s="14">
        <f>IF(AND(P14="",Q14=""),"",P14-IF(Ayarlar!$B$16&gt;0,Q14/Ayarlar!$B$16,0))</f>
        <v/>
      </c>
      <c r="T14" s="12" t="n"/>
      <c r="U14" s="12" t="n"/>
      <c r="V14" s="13" t="n"/>
      <c r="W14" s="14">
        <f>IF(AND(T14="",U14=""),"",T14-IF(Ayarlar!$B$16&gt;0,U14/Ayarlar!$B$16,0))</f>
        <v/>
      </c>
      <c r="X14" s="12" t="n"/>
      <c r="Y14" s="12" t="n"/>
      <c r="Z14" s="13" t="n"/>
      <c r="AA14" s="14">
        <f>IF(AND(X14="",Y14=""),"",X14-IF(Ayarlar!$B$16&gt;0,Y14/Ayarlar!$B$16,0))</f>
        <v/>
      </c>
      <c r="AB14" s="12" t="n"/>
      <c r="AC14" s="12" t="n"/>
      <c r="AD14" s="13" t="n"/>
      <c r="AE14" s="14">
        <f>IF(AND(AB14="",AC14=""),"",AB14-IF(Ayarlar!$B$16&gt;0,AC14/Ayarlar!$B$16,0))</f>
        <v/>
      </c>
      <c r="AF14" s="12" t="n"/>
      <c r="AG14" s="12" t="n"/>
      <c r="AH14" s="13" t="n"/>
      <c r="AI14" s="14">
        <f>IF(AND(AF14="",AG14=""),"",AF14-IF(Ayarlar!$B$16&gt;0,AG14/Ayarlar!$B$16,0))</f>
        <v/>
      </c>
      <c r="AJ14" s="15">
        <f>IF(COUNT(D14,E14,H14,I14,L14,M14,P14,Q14,T14,U14,X14,Y14,AB14,AC14,AF14,AG14)=0,"",D14+H14+L14+P14+T14+X14+AB14+AF14)</f>
        <v/>
      </c>
      <c r="AK14" s="15">
        <f>IF(COUNT(D14,E14,H14,I14,L14,M14,P14,Q14,T14,U14,X14,Y14,AB14,AC14,AF14,AG14)=0,"",E14+I14+M14+Q14+U14+Y14+AC14+AG14)</f>
        <v/>
      </c>
      <c r="AL14" s="15">
        <f>IF(COUNT(D14,E14,H14,I14,L14,M14,P14,Q14,T14,U14,X14,Y14,AB14,AC14,AF14,AG14)=0,"",IF(ISNUMBER(G14),IF(F14="",Ayarlar!$B$4,F14),0)+IF(ISNUMBER(K14),IF(J14="",Ayarlar!$B$5,J14),0)+IF(ISNUMBER(O14),IF(N14="",Ayarlar!$B$6,N14),0)+IF(ISNUMBER(S14),IF(R14="",Ayarlar!$B$7,R14),0)+IF(ISNUMBER(W14),IF(V14="",Ayarlar!$B$8,V14),0)+IF(ISNUMBER(AA14),IF(Z14="",Ayarlar!$B$9,Z14),0)+IF(ISNUMBER(AE14),IF(AD14="",Ayarlar!$B$10,AD14),0)+IF(ISNUMBER(AI14),IF(AH14="",Ayarlar!$B$11,AH14),0))</f>
        <v/>
      </c>
      <c r="AM14" s="15">
        <f>IF(COUNT(D14,E14,H14,I14,L14,M14,P14,Q14,T14,U14,X14,Y14,AB14,AC14,AF14,AG14)=0,"",AL14-AJ14-AK14)</f>
        <v/>
      </c>
      <c r="AN14" s="16">
        <f>IF(COUNT(D14,E14,H14,I14,L14,M14,P14,Q14,T14,U14,X14,Y14,AB14,AC14,AF14,AG14)=0,"",SUM(G14,K14,O14,S14,W14,AA14,AE14,AI14))</f>
        <v/>
      </c>
      <c r="AO14" s="17">
        <f>IF(OR(COUNT(D14,E14,H14,I14,L14,M14,P14,Q14,T14,U14,X14,Y14,AB14,AC14,AF14,AG14)=0,N(AL14)=0),"",AN14/AL14)</f>
        <v/>
      </c>
      <c r="AP14" s="18">
        <f>IF(OR(AO14="",AO13=""),"",AO14-AO13)</f>
        <v/>
      </c>
      <c r="AQ14" s="19">
        <f>IFERROR((IF(Ayarlar!$B$21=Ayarlar!$E$21,N(G14),0)+IF(Ayarlar!$B$22=Ayarlar!$E$21,N(K14),0)+IF(Ayarlar!$B$23=Ayarlar!$E$21,N(O14),0)+IF(Ayarlar!$B$24=Ayarlar!$E$21,N(S14),0)+IF(Ayarlar!$B$25=Ayarlar!$E$21,N(W14),0)+IF(Ayarlar!$B$26=Ayarlar!$E$21,N(AA14),0)+IF(Ayarlar!$B$27=Ayarlar!$E$21,N(AE14),0)+IF(Ayarlar!$B$28=Ayarlar!$E$21,N(AI14),0))/(IF(AND(Ayarlar!$B$21=Ayarlar!$E$21,ISNUMBER(G14)),IF(F14="",Ayarlar!$B$4,F14),0)+IF(AND(Ayarlar!$B$22=Ayarlar!$E$21,ISNUMBER(K14)),IF(J14="",Ayarlar!$B$5,J14),0)+IF(AND(Ayarlar!$B$23=Ayarlar!$E$21,ISNUMBER(O14)),IF(N14="",Ayarlar!$B$6,N14),0)+IF(AND(Ayarlar!$B$24=Ayarlar!$E$21,ISNUMBER(S14)),IF(R14="",Ayarlar!$B$7,R14),0)+IF(AND(Ayarlar!$B$25=Ayarlar!$E$21,ISNUMBER(W14)),IF(V14="",Ayarlar!$B$8,V14),0)+IF(AND(Ayarlar!$B$26=Ayarlar!$E$21,ISNUMBER(AA14)),IF(Z14="",Ayarlar!$B$9,Z14),0)+IF(AND(Ayarlar!$B$27=Ayarlar!$E$21,ISNUMBER(AE14)),IF(AD14="",Ayarlar!$B$10,AD14),0)+IF(AND(Ayarlar!$B$28=Ayarlar!$E$21,ISNUMBER(AI14)),IF(AH14="",Ayarlar!$B$11,AH14),0))*Ayarlar!$F$21,"")</f>
        <v/>
      </c>
      <c r="AR14" s="19">
        <f>IFERROR((IF(Ayarlar!$B$21=Ayarlar!$E$22,N(G14),0)+IF(Ayarlar!$B$22=Ayarlar!$E$22,N(K14),0)+IF(Ayarlar!$B$23=Ayarlar!$E$22,N(O14),0)+IF(Ayarlar!$B$24=Ayarlar!$E$22,N(S14),0)+IF(Ayarlar!$B$25=Ayarlar!$E$22,N(W14),0)+IF(Ayarlar!$B$26=Ayarlar!$E$22,N(AA14),0)+IF(Ayarlar!$B$27=Ayarlar!$E$22,N(AE14),0)+IF(Ayarlar!$B$28=Ayarlar!$E$22,N(AI14),0))/(IF(AND(Ayarlar!$B$21=Ayarlar!$E$22,ISNUMBER(G14)),IF(F14="",Ayarlar!$B$4,F14),0)+IF(AND(Ayarlar!$B$22=Ayarlar!$E$22,ISNUMBER(K14)),IF(J14="",Ayarlar!$B$5,J14),0)+IF(AND(Ayarlar!$B$23=Ayarlar!$E$22,ISNUMBER(O14)),IF(N14="",Ayarlar!$B$6,N14),0)+IF(AND(Ayarlar!$B$24=Ayarlar!$E$22,ISNUMBER(S14)),IF(R14="",Ayarlar!$B$7,R14),0)+IF(AND(Ayarlar!$B$25=Ayarlar!$E$22,ISNUMBER(W14)),IF(V14="",Ayarlar!$B$8,V14),0)+IF(AND(Ayarlar!$B$26=Ayarlar!$E$22,ISNUMBER(AA14)),IF(Z14="",Ayarlar!$B$9,Z14),0)+IF(AND(Ayarlar!$B$27=Ayarlar!$E$22,ISNUMBER(AE14)),IF(AD14="",Ayarlar!$B$10,AD14),0)+IF(AND(Ayarlar!$B$28=Ayarlar!$E$22,ISNUMBER(AI14)),IF(AH14="",Ayarlar!$B$11,AH14),0))*Ayarlar!$F$22,"")</f>
        <v/>
      </c>
      <c r="AS14" s="19">
        <f>IFERROR((IF(Ayarlar!$B$21=Ayarlar!$E$23,N(G14),0)+IF(Ayarlar!$B$22=Ayarlar!$E$23,N(K14),0)+IF(Ayarlar!$B$23=Ayarlar!$E$23,N(O14),0)+IF(Ayarlar!$B$24=Ayarlar!$E$23,N(S14),0)+IF(Ayarlar!$B$25=Ayarlar!$E$23,N(W14),0)+IF(Ayarlar!$B$26=Ayarlar!$E$23,N(AA14),0)+IF(Ayarlar!$B$27=Ayarlar!$E$23,N(AE14),0)+IF(Ayarlar!$B$28=Ayarlar!$E$23,N(AI14),0))/(IF(AND(Ayarlar!$B$21=Ayarlar!$E$23,ISNUMBER(G14)),IF(F14="",Ayarlar!$B$4,F14),0)+IF(AND(Ayarlar!$B$22=Ayarlar!$E$23,ISNUMBER(K14)),IF(J14="",Ayarlar!$B$5,J14),0)+IF(AND(Ayarlar!$B$23=Ayarlar!$E$23,ISNUMBER(O14)),IF(N14="",Ayarlar!$B$6,N14),0)+IF(AND(Ayarlar!$B$24=Ayarlar!$E$23,ISNUMBER(S14)),IF(R14="",Ayarlar!$B$7,R14),0)+IF(AND(Ayarlar!$B$25=Ayarlar!$E$23,ISNUMBER(W14)),IF(V14="",Ayarlar!$B$8,V14),0)+IF(AND(Ayarlar!$B$26=Ayarlar!$E$23,ISNUMBER(AA14)),IF(Z14="",Ayarlar!$B$9,Z14),0)+IF(AND(Ayarlar!$B$27=Ayarlar!$E$23,ISNUMBER(AE14)),IF(AD14="",Ayarlar!$B$10,AD14),0)+IF(AND(Ayarlar!$B$28=Ayarlar!$E$23,ISNUMBER(AI14)),IF(AH14="",Ayarlar!$B$11,AH14),0))*Ayarlar!$F$23,"")</f>
        <v/>
      </c>
      <c r="AT14" s="19">
        <f>IFERROR((IF(Ayarlar!$B$21=Ayarlar!$E$24,N(G14),0)+IF(Ayarlar!$B$22=Ayarlar!$E$24,N(K14),0)+IF(Ayarlar!$B$23=Ayarlar!$E$24,N(O14),0)+IF(Ayarlar!$B$24=Ayarlar!$E$24,N(S14),0)+IF(Ayarlar!$B$25=Ayarlar!$E$24,N(W14),0)+IF(Ayarlar!$B$26=Ayarlar!$E$24,N(AA14),0)+IF(Ayarlar!$B$27=Ayarlar!$E$24,N(AE14),0)+IF(Ayarlar!$B$28=Ayarlar!$E$24,N(AI14),0))/(IF(AND(Ayarlar!$B$21=Ayarlar!$E$24,ISNUMBER(G14)),IF(F14="",Ayarlar!$B$4,F14),0)+IF(AND(Ayarlar!$B$22=Ayarlar!$E$24,ISNUMBER(K14)),IF(J14="",Ayarlar!$B$5,J14),0)+IF(AND(Ayarlar!$B$23=Ayarlar!$E$24,ISNUMBER(O14)),IF(N14="",Ayarlar!$B$6,N14),0)+IF(AND(Ayarlar!$B$24=Ayarlar!$E$24,ISNUMBER(S14)),IF(R14="",Ayarlar!$B$7,R14),0)+IF(AND(Ayarlar!$B$25=Ayarlar!$E$24,ISNUMBER(W14)),IF(V14="",Ayarlar!$B$8,V14),0)+IF(AND(Ayarlar!$B$26=Ayarlar!$E$24,ISNUMBER(AA14)),IF(Z14="",Ayarlar!$B$9,Z14),0)+IF(AND(Ayarlar!$B$27=Ayarlar!$E$24,ISNUMBER(AE14)),IF(AD14="",Ayarlar!$B$10,AD14),0)+IF(AND(Ayarlar!$B$28=Ayarlar!$E$24,ISNUMBER(AI14)),IF(AH14="",Ayarlar!$B$11,AH14),0))*Ayarlar!$F$24,"")</f>
        <v/>
      </c>
      <c r="AU14" s="20">
        <f>IF(COUNT(AQ14,AR14,AS14,AT14)&lt;4,"",Ayarlar!$F$25+AQ14*Ayarlar!$G$21+AR14*Ayarlar!$G$22+AS14*Ayarlar!$G$23+AT14*Ayarlar!$G$24)</f>
        <v/>
      </c>
    </row>
    <row r="15">
      <c r="A15" s="10" t="n">
        <v>11</v>
      </c>
      <c r="B15" s="11" t="n"/>
      <c r="C15" s="4" t="n"/>
      <c r="D15" s="12" t="n"/>
      <c r="E15" s="12" t="n"/>
      <c r="F15" s="13" t="n"/>
      <c r="G15" s="14">
        <f>IF(AND(D15="",E15=""),"",D15-IF(Ayarlar!$B$16&gt;0,E15/Ayarlar!$B$16,0))</f>
        <v/>
      </c>
      <c r="H15" s="12" t="n"/>
      <c r="I15" s="12" t="n"/>
      <c r="J15" s="13" t="n"/>
      <c r="K15" s="14">
        <f>IF(AND(H15="",I15=""),"",H15-IF(Ayarlar!$B$16&gt;0,I15/Ayarlar!$B$16,0))</f>
        <v/>
      </c>
      <c r="L15" s="12" t="n"/>
      <c r="M15" s="12" t="n"/>
      <c r="N15" s="13" t="n"/>
      <c r="O15" s="14">
        <f>IF(AND(L15="",M15=""),"",L15-IF(Ayarlar!$B$16&gt;0,M15/Ayarlar!$B$16,0))</f>
        <v/>
      </c>
      <c r="P15" s="12" t="n"/>
      <c r="Q15" s="12" t="n"/>
      <c r="R15" s="13" t="n"/>
      <c r="S15" s="14">
        <f>IF(AND(P15="",Q15=""),"",P15-IF(Ayarlar!$B$16&gt;0,Q15/Ayarlar!$B$16,0))</f>
        <v/>
      </c>
      <c r="T15" s="12" t="n"/>
      <c r="U15" s="12" t="n"/>
      <c r="V15" s="13" t="n"/>
      <c r="W15" s="14">
        <f>IF(AND(T15="",U15=""),"",T15-IF(Ayarlar!$B$16&gt;0,U15/Ayarlar!$B$16,0))</f>
        <v/>
      </c>
      <c r="X15" s="12" t="n"/>
      <c r="Y15" s="12" t="n"/>
      <c r="Z15" s="13" t="n"/>
      <c r="AA15" s="14">
        <f>IF(AND(X15="",Y15=""),"",X15-IF(Ayarlar!$B$16&gt;0,Y15/Ayarlar!$B$16,0))</f>
        <v/>
      </c>
      <c r="AB15" s="12" t="n"/>
      <c r="AC15" s="12" t="n"/>
      <c r="AD15" s="13" t="n"/>
      <c r="AE15" s="14">
        <f>IF(AND(AB15="",AC15=""),"",AB15-IF(Ayarlar!$B$16&gt;0,AC15/Ayarlar!$B$16,0))</f>
        <v/>
      </c>
      <c r="AF15" s="12" t="n"/>
      <c r="AG15" s="12" t="n"/>
      <c r="AH15" s="13" t="n"/>
      <c r="AI15" s="14">
        <f>IF(AND(AF15="",AG15=""),"",AF15-IF(Ayarlar!$B$16&gt;0,AG15/Ayarlar!$B$16,0))</f>
        <v/>
      </c>
      <c r="AJ15" s="15">
        <f>IF(COUNT(D15,E15,H15,I15,L15,M15,P15,Q15,T15,U15,X15,Y15,AB15,AC15,AF15,AG15)=0,"",D15+H15+L15+P15+T15+X15+AB15+AF15)</f>
        <v/>
      </c>
      <c r="AK15" s="15">
        <f>IF(COUNT(D15,E15,H15,I15,L15,M15,P15,Q15,T15,U15,X15,Y15,AB15,AC15,AF15,AG15)=0,"",E15+I15+M15+Q15+U15+Y15+AC15+AG15)</f>
        <v/>
      </c>
      <c r="AL15" s="15">
        <f>IF(COUNT(D15,E15,H15,I15,L15,M15,P15,Q15,T15,U15,X15,Y15,AB15,AC15,AF15,AG15)=0,"",IF(ISNUMBER(G15),IF(F15="",Ayarlar!$B$4,F15),0)+IF(ISNUMBER(K15),IF(J15="",Ayarlar!$B$5,J15),0)+IF(ISNUMBER(O15),IF(N15="",Ayarlar!$B$6,N15),0)+IF(ISNUMBER(S15),IF(R15="",Ayarlar!$B$7,R15),0)+IF(ISNUMBER(W15),IF(V15="",Ayarlar!$B$8,V15),0)+IF(ISNUMBER(AA15),IF(Z15="",Ayarlar!$B$9,Z15),0)+IF(ISNUMBER(AE15),IF(AD15="",Ayarlar!$B$10,AD15),0)+IF(ISNUMBER(AI15),IF(AH15="",Ayarlar!$B$11,AH15),0))</f>
        <v/>
      </c>
      <c r="AM15" s="15">
        <f>IF(COUNT(D15,E15,H15,I15,L15,M15,P15,Q15,T15,U15,X15,Y15,AB15,AC15,AF15,AG15)=0,"",AL15-AJ15-AK15)</f>
        <v/>
      </c>
      <c r="AN15" s="16">
        <f>IF(COUNT(D15,E15,H15,I15,L15,M15,P15,Q15,T15,U15,X15,Y15,AB15,AC15,AF15,AG15)=0,"",SUM(G15,K15,O15,S15,W15,AA15,AE15,AI15))</f>
        <v/>
      </c>
      <c r="AO15" s="17">
        <f>IF(OR(COUNT(D15,E15,H15,I15,L15,M15,P15,Q15,T15,U15,X15,Y15,AB15,AC15,AF15,AG15)=0,N(AL15)=0),"",AN15/AL15)</f>
        <v/>
      </c>
      <c r="AP15" s="18">
        <f>IF(OR(AO15="",AO14=""),"",AO15-AO14)</f>
        <v/>
      </c>
      <c r="AQ15" s="19">
        <f>IFERROR((IF(Ayarlar!$B$21=Ayarlar!$E$21,N(G15),0)+IF(Ayarlar!$B$22=Ayarlar!$E$21,N(K15),0)+IF(Ayarlar!$B$23=Ayarlar!$E$21,N(O15),0)+IF(Ayarlar!$B$24=Ayarlar!$E$21,N(S15),0)+IF(Ayarlar!$B$25=Ayarlar!$E$21,N(W15),0)+IF(Ayarlar!$B$26=Ayarlar!$E$21,N(AA15),0)+IF(Ayarlar!$B$27=Ayarlar!$E$21,N(AE15),0)+IF(Ayarlar!$B$28=Ayarlar!$E$21,N(AI15),0))/(IF(AND(Ayarlar!$B$21=Ayarlar!$E$21,ISNUMBER(G15)),IF(F15="",Ayarlar!$B$4,F15),0)+IF(AND(Ayarlar!$B$22=Ayarlar!$E$21,ISNUMBER(K15)),IF(J15="",Ayarlar!$B$5,J15),0)+IF(AND(Ayarlar!$B$23=Ayarlar!$E$21,ISNUMBER(O15)),IF(N15="",Ayarlar!$B$6,N15),0)+IF(AND(Ayarlar!$B$24=Ayarlar!$E$21,ISNUMBER(S15)),IF(R15="",Ayarlar!$B$7,R15),0)+IF(AND(Ayarlar!$B$25=Ayarlar!$E$21,ISNUMBER(W15)),IF(V15="",Ayarlar!$B$8,V15),0)+IF(AND(Ayarlar!$B$26=Ayarlar!$E$21,ISNUMBER(AA15)),IF(Z15="",Ayarlar!$B$9,Z15),0)+IF(AND(Ayarlar!$B$27=Ayarlar!$E$21,ISNUMBER(AE15)),IF(AD15="",Ayarlar!$B$10,AD15),0)+IF(AND(Ayarlar!$B$28=Ayarlar!$E$21,ISNUMBER(AI15)),IF(AH15="",Ayarlar!$B$11,AH15),0))*Ayarlar!$F$21,"")</f>
        <v/>
      </c>
      <c r="AR15" s="19">
        <f>IFERROR((IF(Ayarlar!$B$21=Ayarlar!$E$22,N(G15),0)+IF(Ayarlar!$B$22=Ayarlar!$E$22,N(K15),0)+IF(Ayarlar!$B$23=Ayarlar!$E$22,N(O15),0)+IF(Ayarlar!$B$24=Ayarlar!$E$22,N(S15),0)+IF(Ayarlar!$B$25=Ayarlar!$E$22,N(W15),0)+IF(Ayarlar!$B$26=Ayarlar!$E$22,N(AA15),0)+IF(Ayarlar!$B$27=Ayarlar!$E$22,N(AE15),0)+IF(Ayarlar!$B$28=Ayarlar!$E$22,N(AI15),0))/(IF(AND(Ayarlar!$B$21=Ayarlar!$E$22,ISNUMBER(G15)),IF(F15="",Ayarlar!$B$4,F15),0)+IF(AND(Ayarlar!$B$22=Ayarlar!$E$22,ISNUMBER(K15)),IF(J15="",Ayarlar!$B$5,J15),0)+IF(AND(Ayarlar!$B$23=Ayarlar!$E$22,ISNUMBER(O15)),IF(N15="",Ayarlar!$B$6,N15),0)+IF(AND(Ayarlar!$B$24=Ayarlar!$E$22,ISNUMBER(S15)),IF(R15="",Ayarlar!$B$7,R15),0)+IF(AND(Ayarlar!$B$25=Ayarlar!$E$22,ISNUMBER(W15)),IF(V15="",Ayarlar!$B$8,V15),0)+IF(AND(Ayarlar!$B$26=Ayarlar!$E$22,ISNUMBER(AA15)),IF(Z15="",Ayarlar!$B$9,Z15),0)+IF(AND(Ayarlar!$B$27=Ayarlar!$E$22,ISNUMBER(AE15)),IF(AD15="",Ayarlar!$B$10,AD15),0)+IF(AND(Ayarlar!$B$28=Ayarlar!$E$22,ISNUMBER(AI15)),IF(AH15="",Ayarlar!$B$11,AH15),0))*Ayarlar!$F$22,"")</f>
        <v/>
      </c>
      <c r="AS15" s="19">
        <f>IFERROR((IF(Ayarlar!$B$21=Ayarlar!$E$23,N(G15),0)+IF(Ayarlar!$B$22=Ayarlar!$E$23,N(K15),0)+IF(Ayarlar!$B$23=Ayarlar!$E$23,N(O15),0)+IF(Ayarlar!$B$24=Ayarlar!$E$23,N(S15),0)+IF(Ayarlar!$B$25=Ayarlar!$E$23,N(W15),0)+IF(Ayarlar!$B$26=Ayarlar!$E$23,N(AA15),0)+IF(Ayarlar!$B$27=Ayarlar!$E$23,N(AE15),0)+IF(Ayarlar!$B$28=Ayarlar!$E$23,N(AI15),0))/(IF(AND(Ayarlar!$B$21=Ayarlar!$E$23,ISNUMBER(G15)),IF(F15="",Ayarlar!$B$4,F15),0)+IF(AND(Ayarlar!$B$22=Ayarlar!$E$23,ISNUMBER(K15)),IF(J15="",Ayarlar!$B$5,J15),0)+IF(AND(Ayarlar!$B$23=Ayarlar!$E$23,ISNUMBER(O15)),IF(N15="",Ayarlar!$B$6,N15),0)+IF(AND(Ayarlar!$B$24=Ayarlar!$E$23,ISNUMBER(S15)),IF(R15="",Ayarlar!$B$7,R15),0)+IF(AND(Ayarlar!$B$25=Ayarlar!$E$23,ISNUMBER(W15)),IF(V15="",Ayarlar!$B$8,V15),0)+IF(AND(Ayarlar!$B$26=Ayarlar!$E$23,ISNUMBER(AA15)),IF(Z15="",Ayarlar!$B$9,Z15),0)+IF(AND(Ayarlar!$B$27=Ayarlar!$E$23,ISNUMBER(AE15)),IF(AD15="",Ayarlar!$B$10,AD15),0)+IF(AND(Ayarlar!$B$28=Ayarlar!$E$23,ISNUMBER(AI15)),IF(AH15="",Ayarlar!$B$11,AH15),0))*Ayarlar!$F$23,"")</f>
        <v/>
      </c>
      <c r="AT15" s="19">
        <f>IFERROR((IF(Ayarlar!$B$21=Ayarlar!$E$24,N(G15),0)+IF(Ayarlar!$B$22=Ayarlar!$E$24,N(K15),0)+IF(Ayarlar!$B$23=Ayarlar!$E$24,N(O15),0)+IF(Ayarlar!$B$24=Ayarlar!$E$24,N(S15),0)+IF(Ayarlar!$B$25=Ayarlar!$E$24,N(W15),0)+IF(Ayarlar!$B$26=Ayarlar!$E$24,N(AA15),0)+IF(Ayarlar!$B$27=Ayarlar!$E$24,N(AE15),0)+IF(Ayarlar!$B$28=Ayarlar!$E$24,N(AI15),0))/(IF(AND(Ayarlar!$B$21=Ayarlar!$E$24,ISNUMBER(G15)),IF(F15="",Ayarlar!$B$4,F15),0)+IF(AND(Ayarlar!$B$22=Ayarlar!$E$24,ISNUMBER(K15)),IF(J15="",Ayarlar!$B$5,J15),0)+IF(AND(Ayarlar!$B$23=Ayarlar!$E$24,ISNUMBER(O15)),IF(N15="",Ayarlar!$B$6,N15),0)+IF(AND(Ayarlar!$B$24=Ayarlar!$E$24,ISNUMBER(S15)),IF(R15="",Ayarlar!$B$7,R15),0)+IF(AND(Ayarlar!$B$25=Ayarlar!$E$24,ISNUMBER(W15)),IF(V15="",Ayarlar!$B$8,V15),0)+IF(AND(Ayarlar!$B$26=Ayarlar!$E$24,ISNUMBER(AA15)),IF(Z15="",Ayarlar!$B$9,Z15),0)+IF(AND(Ayarlar!$B$27=Ayarlar!$E$24,ISNUMBER(AE15)),IF(AD15="",Ayarlar!$B$10,AD15),0)+IF(AND(Ayarlar!$B$28=Ayarlar!$E$24,ISNUMBER(AI15)),IF(AH15="",Ayarlar!$B$11,AH15),0))*Ayarlar!$F$24,"")</f>
        <v/>
      </c>
      <c r="AU15" s="20">
        <f>IF(COUNT(AQ15,AR15,AS15,AT15)&lt;4,"",Ayarlar!$F$25+AQ15*Ayarlar!$G$21+AR15*Ayarlar!$G$22+AS15*Ayarlar!$G$23+AT15*Ayarlar!$G$24)</f>
        <v/>
      </c>
    </row>
    <row r="16">
      <c r="A16" s="10" t="n">
        <v>12</v>
      </c>
      <c r="B16" s="11" t="n"/>
      <c r="C16" s="4" t="n"/>
      <c r="D16" s="12" t="n"/>
      <c r="E16" s="12" t="n"/>
      <c r="F16" s="13" t="n"/>
      <c r="G16" s="14">
        <f>IF(AND(D16="",E16=""),"",D16-IF(Ayarlar!$B$16&gt;0,E16/Ayarlar!$B$16,0))</f>
        <v/>
      </c>
      <c r="H16" s="12" t="n"/>
      <c r="I16" s="12" t="n"/>
      <c r="J16" s="13" t="n"/>
      <c r="K16" s="14">
        <f>IF(AND(H16="",I16=""),"",H16-IF(Ayarlar!$B$16&gt;0,I16/Ayarlar!$B$16,0))</f>
        <v/>
      </c>
      <c r="L16" s="12" t="n"/>
      <c r="M16" s="12" t="n"/>
      <c r="N16" s="13" t="n"/>
      <c r="O16" s="14">
        <f>IF(AND(L16="",M16=""),"",L16-IF(Ayarlar!$B$16&gt;0,M16/Ayarlar!$B$16,0))</f>
        <v/>
      </c>
      <c r="P16" s="12" t="n"/>
      <c r="Q16" s="12" t="n"/>
      <c r="R16" s="13" t="n"/>
      <c r="S16" s="14">
        <f>IF(AND(P16="",Q16=""),"",P16-IF(Ayarlar!$B$16&gt;0,Q16/Ayarlar!$B$16,0))</f>
        <v/>
      </c>
      <c r="T16" s="12" t="n"/>
      <c r="U16" s="12" t="n"/>
      <c r="V16" s="13" t="n"/>
      <c r="W16" s="14">
        <f>IF(AND(T16="",U16=""),"",T16-IF(Ayarlar!$B$16&gt;0,U16/Ayarlar!$B$16,0))</f>
        <v/>
      </c>
      <c r="X16" s="12" t="n"/>
      <c r="Y16" s="12" t="n"/>
      <c r="Z16" s="13" t="n"/>
      <c r="AA16" s="14">
        <f>IF(AND(X16="",Y16=""),"",X16-IF(Ayarlar!$B$16&gt;0,Y16/Ayarlar!$B$16,0))</f>
        <v/>
      </c>
      <c r="AB16" s="12" t="n"/>
      <c r="AC16" s="12" t="n"/>
      <c r="AD16" s="13" t="n"/>
      <c r="AE16" s="14">
        <f>IF(AND(AB16="",AC16=""),"",AB16-IF(Ayarlar!$B$16&gt;0,AC16/Ayarlar!$B$16,0))</f>
        <v/>
      </c>
      <c r="AF16" s="12" t="n"/>
      <c r="AG16" s="12" t="n"/>
      <c r="AH16" s="13" t="n"/>
      <c r="AI16" s="14">
        <f>IF(AND(AF16="",AG16=""),"",AF16-IF(Ayarlar!$B$16&gt;0,AG16/Ayarlar!$B$16,0))</f>
        <v/>
      </c>
      <c r="AJ16" s="15">
        <f>IF(COUNT(D16,E16,H16,I16,L16,M16,P16,Q16,T16,U16,X16,Y16,AB16,AC16,AF16,AG16)=0,"",D16+H16+L16+P16+T16+X16+AB16+AF16)</f>
        <v/>
      </c>
      <c r="AK16" s="15">
        <f>IF(COUNT(D16,E16,H16,I16,L16,M16,P16,Q16,T16,U16,X16,Y16,AB16,AC16,AF16,AG16)=0,"",E16+I16+M16+Q16+U16+Y16+AC16+AG16)</f>
        <v/>
      </c>
      <c r="AL16" s="15">
        <f>IF(COUNT(D16,E16,H16,I16,L16,M16,P16,Q16,T16,U16,X16,Y16,AB16,AC16,AF16,AG16)=0,"",IF(ISNUMBER(G16),IF(F16="",Ayarlar!$B$4,F16),0)+IF(ISNUMBER(K16),IF(J16="",Ayarlar!$B$5,J16),0)+IF(ISNUMBER(O16),IF(N16="",Ayarlar!$B$6,N16),0)+IF(ISNUMBER(S16),IF(R16="",Ayarlar!$B$7,R16),0)+IF(ISNUMBER(W16),IF(V16="",Ayarlar!$B$8,V16),0)+IF(ISNUMBER(AA16),IF(Z16="",Ayarlar!$B$9,Z16),0)+IF(ISNUMBER(AE16),IF(AD16="",Ayarlar!$B$10,AD16),0)+IF(ISNUMBER(AI16),IF(AH16="",Ayarlar!$B$11,AH16),0))</f>
        <v/>
      </c>
      <c r="AM16" s="15">
        <f>IF(COUNT(D16,E16,H16,I16,L16,M16,P16,Q16,T16,U16,X16,Y16,AB16,AC16,AF16,AG16)=0,"",AL16-AJ16-AK16)</f>
        <v/>
      </c>
      <c r="AN16" s="16">
        <f>IF(COUNT(D16,E16,H16,I16,L16,M16,P16,Q16,T16,U16,X16,Y16,AB16,AC16,AF16,AG16)=0,"",SUM(G16,K16,O16,S16,W16,AA16,AE16,AI16))</f>
        <v/>
      </c>
      <c r="AO16" s="17">
        <f>IF(OR(COUNT(D16,E16,H16,I16,L16,M16,P16,Q16,T16,U16,X16,Y16,AB16,AC16,AF16,AG16)=0,N(AL16)=0),"",AN16/AL16)</f>
        <v/>
      </c>
      <c r="AP16" s="18">
        <f>IF(OR(AO16="",AO15=""),"",AO16-AO15)</f>
        <v/>
      </c>
      <c r="AQ16" s="19">
        <f>IFERROR((IF(Ayarlar!$B$21=Ayarlar!$E$21,N(G16),0)+IF(Ayarlar!$B$22=Ayarlar!$E$21,N(K16),0)+IF(Ayarlar!$B$23=Ayarlar!$E$21,N(O16),0)+IF(Ayarlar!$B$24=Ayarlar!$E$21,N(S16),0)+IF(Ayarlar!$B$25=Ayarlar!$E$21,N(W16),0)+IF(Ayarlar!$B$26=Ayarlar!$E$21,N(AA16),0)+IF(Ayarlar!$B$27=Ayarlar!$E$21,N(AE16),0)+IF(Ayarlar!$B$28=Ayarlar!$E$21,N(AI16),0))/(IF(AND(Ayarlar!$B$21=Ayarlar!$E$21,ISNUMBER(G16)),IF(F16="",Ayarlar!$B$4,F16),0)+IF(AND(Ayarlar!$B$22=Ayarlar!$E$21,ISNUMBER(K16)),IF(J16="",Ayarlar!$B$5,J16),0)+IF(AND(Ayarlar!$B$23=Ayarlar!$E$21,ISNUMBER(O16)),IF(N16="",Ayarlar!$B$6,N16),0)+IF(AND(Ayarlar!$B$24=Ayarlar!$E$21,ISNUMBER(S16)),IF(R16="",Ayarlar!$B$7,R16),0)+IF(AND(Ayarlar!$B$25=Ayarlar!$E$21,ISNUMBER(W16)),IF(V16="",Ayarlar!$B$8,V16),0)+IF(AND(Ayarlar!$B$26=Ayarlar!$E$21,ISNUMBER(AA16)),IF(Z16="",Ayarlar!$B$9,Z16),0)+IF(AND(Ayarlar!$B$27=Ayarlar!$E$21,ISNUMBER(AE16)),IF(AD16="",Ayarlar!$B$10,AD16),0)+IF(AND(Ayarlar!$B$28=Ayarlar!$E$21,ISNUMBER(AI16)),IF(AH16="",Ayarlar!$B$11,AH16),0))*Ayarlar!$F$21,"")</f>
        <v/>
      </c>
      <c r="AR16" s="19">
        <f>IFERROR((IF(Ayarlar!$B$21=Ayarlar!$E$22,N(G16),0)+IF(Ayarlar!$B$22=Ayarlar!$E$22,N(K16),0)+IF(Ayarlar!$B$23=Ayarlar!$E$22,N(O16),0)+IF(Ayarlar!$B$24=Ayarlar!$E$22,N(S16),0)+IF(Ayarlar!$B$25=Ayarlar!$E$22,N(W16),0)+IF(Ayarlar!$B$26=Ayarlar!$E$22,N(AA16),0)+IF(Ayarlar!$B$27=Ayarlar!$E$22,N(AE16),0)+IF(Ayarlar!$B$28=Ayarlar!$E$22,N(AI16),0))/(IF(AND(Ayarlar!$B$21=Ayarlar!$E$22,ISNUMBER(G16)),IF(F16="",Ayarlar!$B$4,F16),0)+IF(AND(Ayarlar!$B$22=Ayarlar!$E$22,ISNUMBER(K16)),IF(J16="",Ayarlar!$B$5,J16),0)+IF(AND(Ayarlar!$B$23=Ayarlar!$E$22,ISNUMBER(O16)),IF(N16="",Ayarlar!$B$6,N16),0)+IF(AND(Ayarlar!$B$24=Ayarlar!$E$22,ISNUMBER(S16)),IF(R16="",Ayarlar!$B$7,R16),0)+IF(AND(Ayarlar!$B$25=Ayarlar!$E$22,ISNUMBER(W16)),IF(V16="",Ayarlar!$B$8,V16),0)+IF(AND(Ayarlar!$B$26=Ayarlar!$E$22,ISNUMBER(AA16)),IF(Z16="",Ayarlar!$B$9,Z16),0)+IF(AND(Ayarlar!$B$27=Ayarlar!$E$22,ISNUMBER(AE16)),IF(AD16="",Ayarlar!$B$10,AD16),0)+IF(AND(Ayarlar!$B$28=Ayarlar!$E$22,ISNUMBER(AI16)),IF(AH16="",Ayarlar!$B$11,AH16),0))*Ayarlar!$F$22,"")</f>
        <v/>
      </c>
      <c r="AS16" s="19">
        <f>IFERROR((IF(Ayarlar!$B$21=Ayarlar!$E$23,N(G16),0)+IF(Ayarlar!$B$22=Ayarlar!$E$23,N(K16),0)+IF(Ayarlar!$B$23=Ayarlar!$E$23,N(O16),0)+IF(Ayarlar!$B$24=Ayarlar!$E$23,N(S16),0)+IF(Ayarlar!$B$25=Ayarlar!$E$23,N(W16),0)+IF(Ayarlar!$B$26=Ayarlar!$E$23,N(AA16),0)+IF(Ayarlar!$B$27=Ayarlar!$E$23,N(AE16),0)+IF(Ayarlar!$B$28=Ayarlar!$E$23,N(AI16),0))/(IF(AND(Ayarlar!$B$21=Ayarlar!$E$23,ISNUMBER(G16)),IF(F16="",Ayarlar!$B$4,F16),0)+IF(AND(Ayarlar!$B$22=Ayarlar!$E$23,ISNUMBER(K16)),IF(J16="",Ayarlar!$B$5,J16),0)+IF(AND(Ayarlar!$B$23=Ayarlar!$E$23,ISNUMBER(O16)),IF(N16="",Ayarlar!$B$6,N16),0)+IF(AND(Ayarlar!$B$24=Ayarlar!$E$23,ISNUMBER(S16)),IF(R16="",Ayarlar!$B$7,R16),0)+IF(AND(Ayarlar!$B$25=Ayarlar!$E$23,ISNUMBER(W16)),IF(V16="",Ayarlar!$B$8,V16),0)+IF(AND(Ayarlar!$B$26=Ayarlar!$E$23,ISNUMBER(AA16)),IF(Z16="",Ayarlar!$B$9,Z16),0)+IF(AND(Ayarlar!$B$27=Ayarlar!$E$23,ISNUMBER(AE16)),IF(AD16="",Ayarlar!$B$10,AD16),0)+IF(AND(Ayarlar!$B$28=Ayarlar!$E$23,ISNUMBER(AI16)),IF(AH16="",Ayarlar!$B$11,AH16),0))*Ayarlar!$F$23,"")</f>
        <v/>
      </c>
      <c r="AT16" s="19">
        <f>IFERROR((IF(Ayarlar!$B$21=Ayarlar!$E$24,N(G16),0)+IF(Ayarlar!$B$22=Ayarlar!$E$24,N(K16),0)+IF(Ayarlar!$B$23=Ayarlar!$E$24,N(O16),0)+IF(Ayarlar!$B$24=Ayarlar!$E$24,N(S16),0)+IF(Ayarlar!$B$25=Ayarlar!$E$24,N(W16),0)+IF(Ayarlar!$B$26=Ayarlar!$E$24,N(AA16),0)+IF(Ayarlar!$B$27=Ayarlar!$E$24,N(AE16),0)+IF(Ayarlar!$B$28=Ayarlar!$E$24,N(AI16),0))/(IF(AND(Ayarlar!$B$21=Ayarlar!$E$24,ISNUMBER(G16)),IF(F16="",Ayarlar!$B$4,F16),0)+IF(AND(Ayarlar!$B$22=Ayarlar!$E$24,ISNUMBER(K16)),IF(J16="",Ayarlar!$B$5,J16),0)+IF(AND(Ayarlar!$B$23=Ayarlar!$E$24,ISNUMBER(O16)),IF(N16="",Ayarlar!$B$6,N16),0)+IF(AND(Ayarlar!$B$24=Ayarlar!$E$24,ISNUMBER(S16)),IF(R16="",Ayarlar!$B$7,R16),0)+IF(AND(Ayarlar!$B$25=Ayarlar!$E$24,ISNUMBER(W16)),IF(V16="",Ayarlar!$B$8,V16),0)+IF(AND(Ayarlar!$B$26=Ayarlar!$E$24,ISNUMBER(AA16)),IF(Z16="",Ayarlar!$B$9,Z16),0)+IF(AND(Ayarlar!$B$27=Ayarlar!$E$24,ISNUMBER(AE16)),IF(AD16="",Ayarlar!$B$10,AD16),0)+IF(AND(Ayarlar!$B$28=Ayarlar!$E$24,ISNUMBER(AI16)),IF(AH16="",Ayarlar!$B$11,AH16),0))*Ayarlar!$F$24,"")</f>
        <v/>
      </c>
      <c r="AU16" s="20">
        <f>IF(COUNT(AQ16,AR16,AS16,AT16)&lt;4,"",Ayarlar!$F$25+AQ16*Ayarlar!$G$21+AR16*Ayarlar!$G$22+AS16*Ayarlar!$G$23+AT16*Ayarlar!$G$24)</f>
        <v/>
      </c>
    </row>
    <row r="17">
      <c r="A17" s="10" t="n">
        <v>13</v>
      </c>
      <c r="B17" s="11" t="n"/>
      <c r="C17" s="4" t="n"/>
      <c r="D17" s="12" t="n"/>
      <c r="E17" s="12" t="n"/>
      <c r="F17" s="13" t="n"/>
      <c r="G17" s="14">
        <f>IF(AND(D17="",E17=""),"",D17-IF(Ayarlar!$B$16&gt;0,E17/Ayarlar!$B$16,0))</f>
        <v/>
      </c>
      <c r="H17" s="12" t="n"/>
      <c r="I17" s="12" t="n"/>
      <c r="J17" s="13" t="n"/>
      <c r="K17" s="14">
        <f>IF(AND(H17="",I17=""),"",H17-IF(Ayarlar!$B$16&gt;0,I17/Ayarlar!$B$16,0))</f>
        <v/>
      </c>
      <c r="L17" s="12" t="n"/>
      <c r="M17" s="12" t="n"/>
      <c r="N17" s="13" t="n"/>
      <c r="O17" s="14">
        <f>IF(AND(L17="",M17=""),"",L17-IF(Ayarlar!$B$16&gt;0,M17/Ayarlar!$B$16,0))</f>
        <v/>
      </c>
      <c r="P17" s="12" t="n"/>
      <c r="Q17" s="12" t="n"/>
      <c r="R17" s="13" t="n"/>
      <c r="S17" s="14">
        <f>IF(AND(P17="",Q17=""),"",P17-IF(Ayarlar!$B$16&gt;0,Q17/Ayarlar!$B$16,0))</f>
        <v/>
      </c>
      <c r="T17" s="12" t="n"/>
      <c r="U17" s="12" t="n"/>
      <c r="V17" s="13" t="n"/>
      <c r="W17" s="14">
        <f>IF(AND(T17="",U17=""),"",T17-IF(Ayarlar!$B$16&gt;0,U17/Ayarlar!$B$16,0))</f>
        <v/>
      </c>
      <c r="X17" s="12" t="n"/>
      <c r="Y17" s="12" t="n"/>
      <c r="Z17" s="13" t="n"/>
      <c r="AA17" s="14">
        <f>IF(AND(X17="",Y17=""),"",X17-IF(Ayarlar!$B$16&gt;0,Y17/Ayarlar!$B$16,0))</f>
        <v/>
      </c>
      <c r="AB17" s="12" t="n"/>
      <c r="AC17" s="12" t="n"/>
      <c r="AD17" s="13" t="n"/>
      <c r="AE17" s="14">
        <f>IF(AND(AB17="",AC17=""),"",AB17-IF(Ayarlar!$B$16&gt;0,AC17/Ayarlar!$B$16,0))</f>
        <v/>
      </c>
      <c r="AF17" s="12" t="n"/>
      <c r="AG17" s="12" t="n"/>
      <c r="AH17" s="13" t="n"/>
      <c r="AI17" s="14">
        <f>IF(AND(AF17="",AG17=""),"",AF17-IF(Ayarlar!$B$16&gt;0,AG17/Ayarlar!$B$16,0))</f>
        <v/>
      </c>
      <c r="AJ17" s="15">
        <f>IF(COUNT(D17,E17,H17,I17,L17,M17,P17,Q17,T17,U17,X17,Y17,AB17,AC17,AF17,AG17)=0,"",D17+H17+L17+P17+T17+X17+AB17+AF17)</f>
        <v/>
      </c>
      <c r="AK17" s="15">
        <f>IF(COUNT(D17,E17,H17,I17,L17,M17,P17,Q17,T17,U17,X17,Y17,AB17,AC17,AF17,AG17)=0,"",E17+I17+M17+Q17+U17+Y17+AC17+AG17)</f>
        <v/>
      </c>
      <c r="AL17" s="15">
        <f>IF(COUNT(D17,E17,H17,I17,L17,M17,P17,Q17,T17,U17,X17,Y17,AB17,AC17,AF17,AG17)=0,"",IF(ISNUMBER(G17),IF(F17="",Ayarlar!$B$4,F17),0)+IF(ISNUMBER(K17),IF(J17="",Ayarlar!$B$5,J17),0)+IF(ISNUMBER(O17),IF(N17="",Ayarlar!$B$6,N17),0)+IF(ISNUMBER(S17),IF(R17="",Ayarlar!$B$7,R17),0)+IF(ISNUMBER(W17),IF(V17="",Ayarlar!$B$8,V17),0)+IF(ISNUMBER(AA17),IF(Z17="",Ayarlar!$B$9,Z17),0)+IF(ISNUMBER(AE17),IF(AD17="",Ayarlar!$B$10,AD17),0)+IF(ISNUMBER(AI17),IF(AH17="",Ayarlar!$B$11,AH17),0))</f>
        <v/>
      </c>
      <c r="AM17" s="15">
        <f>IF(COUNT(D17,E17,H17,I17,L17,M17,P17,Q17,T17,U17,X17,Y17,AB17,AC17,AF17,AG17)=0,"",AL17-AJ17-AK17)</f>
        <v/>
      </c>
      <c r="AN17" s="16">
        <f>IF(COUNT(D17,E17,H17,I17,L17,M17,P17,Q17,T17,U17,X17,Y17,AB17,AC17,AF17,AG17)=0,"",SUM(G17,K17,O17,S17,W17,AA17,AE17,AI17))</f>
        <v/>
      </c>
      <c r="AO17" s="17">
        <f>IF(OR(COUNT(D17,E17,H17,I17,L17,M17,P17,Q17,T17,U17,X17,Y17,AB17,AC17,AF17,AG17)=0,N(AL17)=0),"",AN17/AL17)</f>
        <v/>
      </c>
      <c r="AP17" s="18">
        <f>IF(OR(AO17="",AO16=""),"",AO17-AO16)</f>
        <v/>
      </c>
      <c r="AQ17" s="19">
        <f>IFERROR((IF(Ayarlar!$B$21=Ayarlar!$E$21,N(G17),0)+IF(Ayarlar!$B$22=Ayarlar!$E$21,N(K17),0)+IF(Ayarlar!$B$23=Ayarlar!$E$21,N(O17),0)+IF(Ayarlar!$B$24=Ayarlar!$E$21,N(S17),0)+IF(Ayarlar!$B$25=Ayarlar!$E$21,N(W17),0)+IF(Ayarlar!$B$26=Ayarlar!$E$21,N(AA17),0)+IF(Ayarlar!$B$27=Ayarlar!$E$21,N(AE17),0)+IF(Ayarlar!$B$28=Ayarlar!$E$21,N(AI17),0))/(IF(AND(Ayarlar!$B$21=Ayarlar!$E$21,ISNUMBER(G17)),IF(F17="",Ayarlar!$B$4,F17),0)+IF(AND(Ayarlar!$B$22=Ayarlar!$E$21,ISNUMBER(K17)),IF(J17="",Ayarlar!$B$5,J17),0)+IF(AND(Ayarlar!$B$23=Ayarlar!$E$21,ISNUMBER(O17)),IF(N17="",Ayarlar!$B$6,N17),0)+IF(AND(Ayarlar!$B$24=Ayarlar!$E$21,ISNUMBER(S17)),IF(R17="",Ayarlar!$B$7,R17),0)+IF(AND(Ayarlar!$B$25=Ayarlar!$E$21,ISNUMBER(W17)),IF(V17="",Ayarlar!$B$8,V17),0)+IF(AND(Ayarlar!$B$26=Ayarlar!$E$21,ISNUMBER(AA17)),IF(Z17="",Ayarlar!$B$9,Z17),0)+IF(AND(Ayarlar!$B$27=Ayarlar!$E$21,ISNUMBER(AE17)),IF(AD17="",Ayarlar!$B$10,AD17),0)+IF(AND(Ayarlar!$B$28=Ayarlar!$E$21,ISNUMBER(AI17)),IF(AH17="",Ayarlar!$B$11,AH17),0))*Ayarlar!$F$21,"")</f>
        <v/>
      </c>
      <c r="AR17" s="19">
        <f>IFERROR((IF(Ayarlar!$B$21=Ayarlar!$E$22,N(G17),0)+IF(Ayarlar!$B$22=Ayarlar!$E$22,N(K17),0)+IF(Ayarlar!$B$23=Ayarlar!$E$22,N(O17),0)+IF(Ayarlar!$B$24=Ayarlar!$E$22,N(S17),0)+IF(Ayarlar!$B$25=Ayarlar!$E$22,N(W17),0)+IF(Ayarlar!$B$26=Ayarlar!$E$22,N(AA17),0)+IF(Ayarlar!$B$27=Ayarlar!$E$22,N(AE17),0)+IF(Ayarlar!$B$28=Ayarlar!$E$22,N(AI17),0))/(IF(AND(Ayarlar!$B$21=Ayarlar!$E$22,ISNUMBER(G17)),IF(F17="",Ayarlar!$B$4,F17),0)+IF(AND(Ayarlar!$B$22=Ayarlar!$E$22,ISNUMBER(K17)),IF(J17="",Ayarlar!$B$5,J17),0)+IF(AND(Ayarlar!$B$23=Ayarlar!$E$22,ISNUMBER(O17)),IF(N17="",Ayarlar!$B$6,N17),0)+IF(AND(Ayarlar!$B$24=Ayarlar!$E$22,ISNUMBER(S17)),IF(R17="",Ayarlar!$B$7,R17),0)+IF(AND(Ayarlar!$B$25=Ayarlar!$E$22,ISNUMBER(W17)),IF(V17="",Ayarlar!$B$8,V17),0)+IF(AND(Ayarlar!$B$26=Ayarlar!$E$22,ISNUMBER(AA17)),IF(Z17="",Ayarlar!$B$9,Z17),0)+IF(AND(Ayarlar!$B$27=Ayarlar!$E$22,ISNUMBER(AE17)),IF(AD17="",Ayarlar!$B$10,AD17),0)+IF(AND(Ayarlar!$B$28=Ayarlar!$E$22,ISNUMBER(AI17)),IF(AH17="",Ayarlar!$B$11,AH17),0))*Ayarlar!$F$22,"")</f>
        <v/>
      </c>
      <c r="AS17" s="19">
        <f>IFERROR((IF(Ayarlar!$B$21=Ayarlar!$E$23,N(G17),0)+IF(Ayarlar!$B$22=Ayarlar!$E$23,N(K17),0)+IF(Ayarlar!$B$23=Ayarlar!$E$23,N(O17),0)+IF(Ayarlar!$B$24=Ayarlar!$E$23,N(S17),0)+IF(Ayarlar!$B$25=Ayarlar!$E$23,N(W17),0)+IF(Ayarlar!$B$26=Ayarlar!$E$23,N(AA17),0)+IF(Ayarlar!$B$27=Ayarlar!$E$23,N(AE17),0)+IF(Ayarlar!$B$28=Ayarlar!$E$23,N(AI17),0))/(IF(AND(Ayarlar!$B$21=Ayarlar!$E$23,ISNUMBER(G17)),IF(F17="",Ayarlar!$B$4,F17),0)+IF(AND(Ayarlar!$B$22=Ayarlar!$E$23,ISNUMBER(K17)),IF(J17="",Ayarlar!$B$5,J17),0)+IF(AND(Ayarlar!$B$23=Ayarlar!$E$23,ISNUMBER(O17)),IF(N17="",Ayarlar!$B$6,N17),0)+IF(AND(Ayarlar!$B$24=Ayarlar!$E$23,ISNUMBER(S17)),IF(R17="",Ayarlar!$B$7,R17),0)+IF(AND(Ayarlar!$B$25=Ayarlar!$E$23,ISNUMBER(W17)),IF(V17="",Ayarlar!$B$8,V17),0)+IF(AND(Ayarlar!$B$26=Ayarlar!$E$23,ISNUMBER(AA17)),IF(Z17="",Ayarlar!$B$9,Z17),0)+IF(AND(Ayarlar!$B$27=Ayarlar!$E$23,ISNUMBER(AE17)),IF(AD17="",Ayarlar!$B$10,AD17),0)+IF(AND(Ayarlar!$B$28=Ayarlar!$E$23,ISNUMBER(AI17)),IF(AH17="",Ayarlar!$B$11,AH17),0))*Ayarlar!$F$23,"")</f>
        <v/>
      </c>
      <c r="AT17" s="19">
        <f>IFERROR((IF(Ayarlar!$B$21=Ayarlar!$E$24,N(G17),0)+IF(Ayarlar!$B$22=Ayarlar!$E$24,N(K17),0)+IF(Ayarlar!$B$23=Ayarlar!$E$24,N(O17),0)+IF(Ayarlar!$B$24=Ayarlar!$E$24,N(S17),0)+IF(Ayarlar!$B$25=Ayarlar!$E$24,N(W17),0)+IF(Ayarlar!$B$26=Ayarlar!$E$24,N(AA17),0)+IF(Ayarlar!$B$27=Ayarlar!$E$24,N(AE17),0)+IF(Ayarlar!$B$28=Ayarlar!$E$24,N(AI17),0))/(IF(AND(Ayarlar!$B$21=Ayarlar!$E$24,ISNUMBER(G17)),IF(F17="",Ayarlar!$B$4,F17),0)+IF(AND(Ayarlar!$B$22=Ayarlar!$E$24,ISNUMBER(K17)),IF(J17="",Ayarlar!$B$5,J17),0)+IF(AND(Ayarlar!$B$23=Ayarlar!$E$24,ISNUMBER(O17)),IF(N17="",Ayarlar!$B$6,N17),0)+IF(AND(Ayarlar!$B$24=Ayarlar!$E$24,ISNUMBER(S17)),IF(R17="",Ayarlar!$B$7,R17),0)+IF(AND(Ayarlar!$B$25=Ayarlar!$E$24,ISNUMBER(W17)),IF(V17="",Ayarlar!$B$8,V17),0)+IF(AND(Ayarlar!$B$26=Ayarlar!$E$24,ISNUMBER(AA17)),IF(Z17="",Ayarlar!$B$9,Z17),0)+IF(AND(Ayarlar!$B$27=Ayarlar!$E$24,ISNUMBER(AE17)),IF(AD17="",Ayarlar!$B$10,AD17),0)+IF(AND(Ayarlar!$B$28=Ayarlar!$E$24,ISNUMBER(AI17)),IF(AH17="",Ayarlar!$B$11,AH17),0))*Ayarlar!$F$24,"")</f>
        <v/>
      </c>
      <c r="AU17" s="20">
        <f>IF(COUNT(AQ17,AR17,AS17,AT17)&lt;4,"",Ayarlar!$F$25+AQ17*Ayarlar!$G$21+AR17*Ayarlar!$G$22+AS17*Ayarlar!$G$23+AT17*Ayarlar!$G$24)</f>
        <v/>
      </c>
    </row>
    <row r="18">
      <c r="A18" s="10" t="n">
        <v>14</v>
      </c>
      <c r="B18" s="11" t="n"/>
      <c r="C18" s="4" t="n"/>
      <c r="D18" s="12" t="n"/>
      <c r="E18" s="12" t="n"/>
      <c r="F18" s="13" t="n"/>
      <c r="G18" s="14">
        <f>IF(AND(D18="",E18=""),"",D18-IF(Ayarlar!$B$16&gt;0,E18/Ayarlar!$B$16,0))</f>
        <v/>
      </c>
      <c r="H18" s="12" t="n"/>
      <c r="I18" s="12" t="n"/>
      <c r="J18" s="13" t="n"/>
      <c r="K18" s="14">
        <f>IF(AND(H18="",I18=""),"",H18-IF(Ayarlar!$B$16&gt;0,I18/Ayarlar!$B$16,0))</f>
        <v/>
      </c>
      <c r="L18" s="12" t="n"/>
      <c r="M18" s="12" t="n"/>
      <c r="N18" s="13" t="n"/>
      <c r="O18" s="14">
        <f>IF(AND(L18="",M18=""),"",L18-IF(Ayarlar!$B$16&gt;0,M18/Ayarlar!$B$16,0))</f>
        <v/>
      </c>
      <c r="P18" s="12" t="n"/>
      <c r="Q18" s="12" t="n"/>
      <c r="R18" s="13" t="n"/>
      <c r="S18" s="14">
        <f>IF(AND(P18="",Q18=""),"",P18-IF(Ayarlar!$B$16&gt;0,Q18/Ayarlar!$B$16,0))</f>
        <v/>
      </c>
      <c r="T18" s="12" t="n"/>
      <c r="U18" s="12" t="n"/>
      <c r="V18" s="13" t="n"/>
      <c r="W18" s="14">
        <f>IF(AND(T18="",U18=""),"",T18-IF(Ayarlar!$B$16&gt;0,U18/Ayarlar!$B$16,0))</f>
        <v/>
      </c>
      <c r="X18" s="12" t="n"/>
      <c r="Y18" s="12" t="n"/>
      <c r="Z18" s="13" t="n"/>
      <c r="AA18" s="14">
        <f>IF(AND(X18="",Y18=""),"",X18-IF(Ayarlar!$B$16&gt;0,Y18/Ayarlar!$B$16,0))</f>
        <v/>
      </c>
      <c r="AB18" s="12" t="n"/>
      <c r="AC18" s="12" t="n"/>
      <c r="AD18" s="13" t="n"/>
      <c r="AE18" s="14">
        <f>IF(AND(AB18="",AC18=""),"",AB18-IF(Ayarlar!$B$16&gt;0,AC18/Ayarlar!$B$16,0))</f>
        <v/>
      </c>
      <c r="AF18" s="12" t="n"/>
      <c r="AG18" s="12" t="n"/>
      <c r="AH18" s="13" t="n"/>
      <c r="AI18" s="14">
        <f>IF(AND(AF18="",AG18=""),"",AF18-IF(Ayarlar!$B$16&gt;0,AG18/Ayarlar!$B$16,0))</f>
        <v/>
      </c>
      <c r="AJ18" s="15">
        <f>IF(COUNT(D18,E18,H18,I18,L18,M18,P18,Q18,T18,U18,X18,Y18,AB18,AC18,AF18,AG18)=0,"",D18+H18+L18+P18+T18+X18+AB18+AF18)</f>
        <v/>
      </c>
      <c r="AK18" s="15">
        <f>IF(COUNT(D18,E18,H18,I18,L18,M18,P18,Q18,T18,U18,X18,Y18,AB18,AC18,AF18,AG18)=0,"",E18+I18+M18+Q18+U18+Y18+AC18+AG18)</f>
        <v/>
      </c>
      <c r="AL18" s="15">
        <f>IF(COUNT(D18,E18,H18,I18,L18,M18,P18,Q18,T18,U18,X18,Y18,AB18,AC18,AF18,AG18)=0,"",IF(ISNUMBER(G18),IF(F18="",Ayarlar!$B$4,F18),0)+IF(ISNUMBER(K18),IF(J18="",Ayarlar!$B$5,J18),0)+IF(ISNUMBER(O18),IF(N18="",Ayarlar!$B$6,N18),0)+IF(ISNUMBER(S18),IF(R18="",Ayarlar!$B$7,R18),0)+IF(ISNUMBER(W18),IF(V18="",Ayarlar!$B$8,V18),0)+IF(ISNUMBER(AA18),IF(Z18="",Ayarlar!$B$9,Z18),0)+IF(ISNUMBER(AE18),IF(AD18="",Ayarlar!$B$10,AD18),0)+IF(ISNUMBER(AI18),IF(AH18="",Ayarlar!$B$11,AH18),0))</f>
        <v/>
      </c>
      <c r="AM18" s="15">
        <f>IF(COUNT(D18,E18,H18,I18,L18,M18,P18,Q18,T18,U18,X18,Y18,AB18,AC18,AF18,AG18)=0,"",AL18-AJ18-AK18)</f>
        <v/>
      </c>
      <c r="AN18" s="16">
        <f>IF(COUNT(D18,E18,H18,I18,L18,M18,P18,Q18,T18,U18,X18,Y18,AB18,AC18,AF18,AG18)=0,"",SUM(G18,K18,O18,S18,W18,AA18,AE18,AI18))</f>
        <v/>
      </c>
      <c r="AO18" s="17">
        <f>IF(OR(COUNT(D18,E18,H18,I18,L18,M18,P18,Q18,T18,U18,X18,Y18,AB18,AC18,AF18,AG18)=0,N(AL18)=0),"",AN18/AL18)</f>
        <v/>
      </c>
      <c r="AP18" s="18">
        <f>IF(OR(AO18="",AO17=""),"",AO18-AO17)</f>
        <v/>
      </c>
      <c r="AQ18" s="19">
        <f>IFERROR((IF(Ayarlar!$B$21=Ayarlar!$E$21,N(G18),0)+IF(Ayarlar!$B$22=Ayarlar!$E$21,N(K18),0)+IF(Ayarlar!$B$23=Ayarlar!$E$21,N(O18),0)+IF(Ayarlar!$B$24=Ayarlar!$E$21,N(S18),0)+IF(Ayarlar!$B$25=Ayarlar!$E$21,N(W18),0)+IF(Ayarlar!$B$26=Ayarlar!$E$21,N(AA18),0)+IF(Ayarlar!$B$27=Ayarlar!$E$21,N(AE18),0)+IF(Ayarlar!$B$28=Ayarlar!$E$21,N(AI18),0))/(IF(AND(Ayarlar!$B$21=Ayarlar!$E$21,ISNUMBER(G18)),IF(F18="",Ayarlar!$B$4,F18),0)+IF(AND(Ayarlar!$B$22=Ayarlar!$E$21,ISNUMBER(K18)),IF(J18="",Ayarlar!$B$5,J18),0)+IF(AND(Ayarlar!$B$23=Ayarlar!$E$21,ISNUMBER(O18)),IF(N18="",Ayarlar!$B$6,N18),0)+IF(AND(Ayarlar!$B$24=Ayarlar!$E$21,ISNUMBER(S18)),IF(R18="",Ayarlar!$B$7,R18),0)+IF(AND(Ayarlar!$B$25=Ayarlar!$E$21,ISNUMBER(W18)),IF(V18="",Ayarlar!$B$8,V18),0)+IF(AND(Ayarlar!$B$26=Ayarlar!$E$21,ISNUMBER(AA18)),IF(Z18="",Ayarlar!$B$9,Z18),0)+IF(AND(Ayarlar!$B$27=Ayarlar!$E$21,ISNUMBER(AE18)),IF(AD18="",Ayarlar!$B$10,AD18),0)+IF(AND(Ayarlar!$B$28=Ayarlar!$E$21,ISNUMBER(AI18)),IF(AH18="",Ayarlar!$B$11,AH18),0))*Ayarlar!$F$21,"")</f>
        <v/>
      </c>
      <c r="AR18" s="19">
        <f>IFERROR((IF(Ayarlar!$B$21=Ayarlar!$E$22,N(G18),0)+IF(Ayarlar!$B$22=Ayarlar!$E$22,N(K18),0)+IF(Ayarlar!$B$23=Ayarlar!$E$22,N(O18),0)+IF(Ayarlar!$B$24=Ayarlar!$E$22,N(S18),0)+IF(Ayarlar!$B$25=Ayarlar!$E$22,N(W18),0)+IF(Ayarlar!$B$26=Ayarlar!$E$22,N(AA18),0)+IF(Ayarlar!$B$27=Ayarlar!$E$22,N(AE18),0)+IF(Ayarlar!$B$28=Ayarlar!$E$22,N(AI18),0))/(IF(AND(Ayarlar!$B$21=Ayarlar!$E$22,ISNUMBER(G18)),IF(F18="",Ayarlar!$B$4,F18),0)+IF(AND(Ayarlar!$B$22=Ayarlar!$E$22,ISNUMBER(K18)),IF(J18="",Ayarlar!$B$5,J18),0)+IF(AND(Ayarlar!$B$23=Ayarlar!$E$22,ISNUMBER(O18)),IF(N18="",Ayarlar!$B$6,N18),0)+IF(AND(Ayarlar!$B$24=Ayarlar!$E$22,ISNUMBER(S18)),IF(R18="",Ayarlar!$B$7,R18),0)+IF(AND(Ayarlar!$B$25=Ayarlar!$E$22,ISNUMBER(W18)),IF(V18="",Ayarlar!$B$8,V18),0)+IF(AND(Ayarlar!$B$26=Ayarlar!$E$22,ISNUMBER(AA18)),IF(Z18="",Ayarlar!$B$9,Z18),0)+IF(AND(Ayarlar!$B$27=Ayarlar!$E$22,ISNUMBER(AE18)),IF(AD18="",Ayarlar!$B$10,AD18),0)+IF(AND(Ayarlar!$B$28=Ayarlar!$E$22,ISNUMBER(AI18)),IF(AH18="",Ayarlar!$B$11,AH18),0))*Ayarlar!$F$22,"")</f>
        <v/>
      </c>
      <c r="AS18" s="19">
        <f>IFERROR((IF(Ayarlar!$B$21=Ayarlar!$E$23,N(G18),0)+IF(Ayarlar!$B$22=Ayarlar!$E$23,N(K18),0)+IF(Ayarlar!$B$23=Ayarlar!$E$23,N(O18),0)+IF(Ayarlar!$B$24=Ayarlar!$E$23,N(S18),0)+IF(Ayarlar!$B$25=Ayarlar!$E$23,N(W18),0)+IF(Ayarlar!$B$26=Ayarlar!$E$23,N(AA18),0)+IF(Ayarlar!$B$27=Ayarlar!$E$23,N(AE18),0)+IF(Ayarlar!$B$28=Ayarlar!$E$23,N(AI18),0))/(IF(AND(Ayarlar!$B$21=Ayarlar!$E$23,ISNUMBER(G18)),IF(F18="",Ayarlar!$B$4,F18),0)+IF(AND(Ayarlar!$B$22=Ayarlar!$E$23,ISNUMBER(K18)),IF(J18="",Ayarlar!$B$5,J18),0)+IF(AND(Ayarlar!$B$23=Ayarlar!$E$23,ISNUMBER(O18)),IF(N18="",Ayarlar!$B$6,N18),0)+IF(AND(Ayarlar!$B$24=Ayarlar!$E$23,ISNUMBER(S18)),IF(R18="",Ayarlar!$B$7,R18),0)+IF(AND(Ayarlar!$B$25=Ayarlar!$E$23,ISNUMBER(W18)),IF(V18="",Ayarlar!$B$8,V18),0)+IF(AND(Ayarlar!$B$26=Ayarlar!$E$23,ISNUMBER(AA18)),IF(Z18="",Ayarlar!$B$9,Z18),0)+IF(AND(Ayarlar!$B$27=Ayarlar!$E$23,ISNUMBER(AE18)),IF(AD18="",Ayarlar!$B$10,AD18),0)+IF(AND(Ayarlar!$B$28=Ayarlar!$E$23,ISNUMBER(AI18)),IF(AH18="",Ayarlar!$B$11,AH18),0))*Ayarlar!$F$23,"")</f>
        <v/>
      </c>
      <c r="AT18" s="19">
        <f>IFERROR((IF(Ayarlar!$B$21=Ayarlar!$E$24,N(G18),0)+IF(Ayarlar!$B$22=Ayarlar!$E$24,N(K18),0)+IF(Ayarlar!$B$23=Ayarlar!$E$24,N(O18),0)+IF(Ayarlar!$B$24=Ayarlar!$E$24,N(S18),0)+IF(Ayarlar!$B$25=Ayarlar!$E$24,N(W18),0)+IF(Ayarlar!$B$26=Ayarlar!$E$24,N(AA18),0)+IF(Ayarlar!$B$27=Ayarlar!$E$24,N(AE18),0)+IF(Ayarlar!$B$28=Ayarlar!$E$24,N(AI18),0))/(IF(AND(Ayarlar!$B$21=Ayarlar!$E$24,ISNUMBER(G18)),IF(F18="",Ayarlar!$B$4,F18),0)+IF(AND(Ayarlar!$B$22=Ayarlar!$E$24,ISNUMBER(K18)),IF(J18="",Ayarlar!$B$5,J18),0)+IF(AND(Ayarlar!$B$23=Ayarlar!$E$24,ISNUMBER(O18)),IF(N18="",Ayarlar!$B$6,N18),0)+IF(AND(Ayarlar!$B$24=Ayarlar!$E$24,ISNUMBER(S18)),IF(R18="",Ayarlar!$B$7,R18),0)+IF(AND(Ayarlar!$B$25=Ayarlar!$E$24,ISNUMBER(W18)),IF(V18="",Ayarlar!$B$8,V18),0)+IF(AND(Ayarlar!$B$26=Ayarlar!$E$24,ISNUMBER(AA18)),IF(Z18="",Ayarlar!$B$9,Z18),0)+IF(AND(Ayarlar!$B$27=Ayarlar!$E$24,ISNUMBER(AE18)),IF(AD18="",Ayarlar!$B$10,AD18),0)+IF(AND(Ayarlar!$B$28=Ayarlar!$E$24,ISNUMBER(AI18)),IF(AH18="",Ayarlar!$B$11,AH18),0))*Ayarlar!$F$24,"")</f>
        <v/>
      </c>
      <c r="AU18" s="20">
        <f>IF(COUNT(AQ18,AR18,AS18,AT18)&lt;4,"",Ayarlar!$F$25+AQ18*Ayarlar!$G$21+AR18*Ayarlar!$G$22+AS18*Ayarlar!$G$23+AT18*Ayarlar!$G$24)</f>
        <v/>
      </c>
    </row>
    <row r="19">
      <c r="A19" s="10" t="n">
        <v>15</v>
      </c>
      <c r="B19" s="11" t="n"/>
      <c r="C19" s="4" t="n"/>
      <c r="D19" s="12" t="n"/>
      <c r="E19" s="12" t="n"/>
      <c r="F19" s="13" t="n"/>
      <c r="G19" s="14">
        <f>IF(AND(D19="",E19=""),"",D19-IF(Ayarlar!$B$16&gt;0,E19/Ayarlar!$B$16,0))</f>
        <v/>
      </c>
      <c r="H19" s="12" t="n"/>
      <c r="I19" s="12" t="n"/>
      <c r="J19" s="13" t="n"/>
      <c r="K19" s="14">
        <f>IF(AND(H19="",I19=""),"",H19-IF(Ayarlar!$B$16&gt;0,I19/Ayarlar!$B$16,0))</f>
        <v/>
      </c>
      <c r="L19" s="12" t="n"/>
      <c r="M19" s="12" t="n"/>
      <c r="N19" s="13" t="n"/>
      <c r="O19" s="14">
        <f>IF(AND(L19="",M19=""),"",L19-IF(Ayarlar!$B$16&gt;0,M19/Ayarlar!$B$16,0))</f>
        <v/>
      </c>
      <c r="P19" s="12" t="n"/>
      <c r="Q19" s="12" t="n"/>
      <c r="R19" s="13" t="n"/>
      <c r="S19" s="14">
        <f>IF(AND(P19="",Q19=""),"",P19-IF(Ayarlar!$B$16&gt;0,Q19/Ayarlar!$B$16,0))</f>
        <v/>
      </c>
      <c r="T19" s="12" t="n"/>
      <c r="U19" s="12" t="n"/>
      <c r="V19" s="13" t="n"/>
      <c r="W19" s="14">
        <f>IF(AND(T19="",U19=""),"",T19-IF(Ayarlar!$B$16&gt;0,U19/Ayarlar!$B$16,0))</f>
        <v/>
      </c>
      <c r="X19" s="12" t="n"/>
      <c r="Y19" s="12" t="n"/>
      <c r="Z19" s="13" t="n"/>
      <c r="AA19" s="14">
        <f>IF(AND(X19="",Y19=""),"",X19-IF(Ayarlar!$B$16&gt;0,Y19/Ayarlar!$B$16,0))</f>
        <v/>
      </c>
      <c r="AB19" s="12" t="n"/>
      <c r="AC19" s="12" t="n"/>
      <c r="AD19" s="13" t="n"/>
      <c r="AE19" s="14">
        <f>IF(AND(AB19="",AC19=""),"",AB19-IF(Ayarlar!$B$16&gt;0,AC19/Ayarlar!$B$16,0))</f>
        <v/>
      </c>
      <c r="AF19" s="12" t="n"/>
      <c r="AG19" s="12" t="n"/>
      <c r="AH19" s="13" t="n"/>
      <c r="AI19" s="14">
        <f>IF(AND(AF19="",AG19=""),"",AF19-IF(Ayarlar!$B$16&gt;0,AG19/Ayarlar!$B$16,0))</f>
        <v/>
      </c>
      <c r="AJ19" s="15">
        <f>IF(COUNT(D19,E19,H19,I19,L19,M19,P19,Q19,T19,U19,X19,Y19,AB19,AC19,AF19,AG19)=0,"",D19+H19+L19+P19+T19+X19+AB19+AF19)</f>
        <v/>
      </c>
      <c r="AK19" s="15">
        <f>IF(COUNT(D19,E19,H19,I19,L19,M19,P19,Q19,T19,U19,X19,Y19,AB19,AC19,AF19,AG19)=0,"",E19+I19+M19+Q19+U19+Y19+AC19+AG19)</f>
        <v/>
      </c>
      <c r="AL19" s="15">
        <f>IF(COUNT(D19,E19,H19,I19,L19,M19,P19,Q19,T19,U19,X19,Y19,AB19,AC19,AF19,AG19)=0,"",IF(ISNUMBER(G19),IF(F19="",Ayarlar!$B$4,F19),0)+IF(ISNUMBER(K19),IF(J19="",Ayarlar!$B$5,J19),0)+IF(ISNUMBER(O19),IF(N19="",Ayarlar!$B$6,N19),0)+IF(ISNUMBER(S19),IF(R19="",Ayarlar!$B$7,R19),0)+IF(ISNUMBER(W19),IF(V19="",Ayarlar!$B$8,V19),0)+IF(ISNUMBER(AA19),IF(Z19="",Ayarlar!$B$9,Z19),0)+IF(ISNUMBER(AE19),IF(AD19="",Ayarlar!$B$10,AD19),0)+IF(ISNUMBER(AI19),IF(AH19="",Ayarlar!$B$11,AH19),0))</f>
        <v/>
      </c>
      <c r="AM19" s="15">
        <f>IF(COUNT(D19,E19,H19,I19,L19,M19,P19,Q19,T19,U19,X19,Y19,AB19,AC19,AF19,AG19)=0,"",AL19-AJ19-AK19)</f>
        <v/>
      </c>
      <c r="AN19" s="16">
        <f>IF(COUNT(D19,E19,H19,I19,L19,M19,P19,Q19,T19,U19,X19,Y19,AB19,AC19,AF19,AG19)=0,"",SUM(G19,K19,O19,S19,W19,AA19,AE19,AI19))</f>
        <v/>
      </c>
      <c r="AO19" s="17">
        <f>IF(OR(COUNT(D19,E19,H19,I19,L19,M19,P19,Q19,T19,U19,X19,Y19,AB19,AC19,AF19,AG19)=0,N(AL19)=0),"",AN19/AL19)</f>
        <v/>
      </c>
      <c r="AP19" s="18">
        <f>IF(OR(AO19="",AO18=""),"",AO19-AO18)</f>
        <v/>
      </c>
      <c r="AQ19" s="19">
        <f>IFERROR((IF(Ayarlar!$B$21=Ayarlar!$E$21,N(G19),0)+IF(Ayarlar!$B$22=Ayarlar!$E$21,N(K19),0)+IF(Ayarlar!$B$23=Ayarlar!$E$21,N(O19),0)+IF(Ayarlar!$B$24=Ayarlar!$E$21,N(S19),0)+IF(Ayarlar!$B$25=Ayarlar!$E$21,N(W19),0)+IF(Ayarlar!$B$26=Ayarlar!$E$21,N(AA19),0)+IF(Ayarlar!$B$27=Ayarlar!$E$21,N(AE19),0)+IF(Ayarlar!$B$28=Ayarlar!$E$21,N(AI19),0))/(IF(AND(Ayarlar!$B$21=Ayarlar!$E$21,ISNUMBER(G19)),IF(F19="",Ayarlar!$B$4,F19),0)+IF(AND(Ayarlar!$B$22=Ayarlar!$E$21,ISNUMBER(K19)),IF(J19="",Ayarlar!$B$5,J19),0)+IF(AND(Ayarlar!$B$23=Ayarlar!$E$21,ISNUMBER(O19)),IF(N19="",Ayarlar!$B$6,N19),0)+IF(AND(Ayarlar!$B$24=Ayarlar!$E$21,ISNUMBER(S19)),IF(R19="",Ayarlar!$B$7,R19),0)+IF(AND(Ayarlar!$B$25=Ayarlar!$E$21,ISNUMBER(W19)),IF(V19="",Ayarlar!$B$8,V19),0)+IF(AND(Ayarlar!$B$26=Ayarlar!$E$21,ISNUMBER(AA19)),IF(Z19="",Ayarlar!$B$9,Z19),0)+IF(AND(Ayarlar!$B$27=Ayarlar!$E$21,ISNUMBER(AE19)),IF(AD19="",Ayarlar!$B$10,AD19),0)+IF(AND(Ayarlar!$B$28=Ayarlar!$E$21,ISNUMBER(AI19)),IF(AH19="",Ayarlar!$B$11,AH19),0))*Ayarlar!$F$21,"")</f>
        <v/>
      </c>
      <c r="AR19" s="19">
        <f>IFERROR((IF(Ayarlar!$B$21=Ayarlar!$E$22,N(G19),0)+IF(Ayarlar!$B$22=Ayarlar!$E$22,N(K19),0)+IF(Ayarlar!$B$23=Ayarlar!$E$22,N(O19),0)+IF(Ayarlar!$B$24=Ayarlar!$E$22,N(S19),0)+IF(Ayarlar!$B$25=Ayarlar!$E$22,N(W19),0)+IF(Ayarlar!$B$26=Ayarlar!$E$22,N(AA19),0)+IF(Ayarlar!$B$27=Ayarlar!$E$22,N(AE19),0)+IF(Ayarlar!$B$28=Ayarlar!$E$22,N(AI19),0))/(IF(AND(Ayarlar!$B$21=Ayarlar!$E$22,ISNUMBER(G19)),IF(F19="",Ayarlar!$B$4,F19),0)+IF(AND(Ayarlar!$B$22=Ayarlar!$E$22,ISNUMBER(K19)),IF(J19="",Ayarlar!$B$5,J19),0)+IF(AND(Ayarlar!$B$23=Ayarlar!$E$22,ISNUMBER(O19)),IF(N19="",Ayarlar!$B$6,N19),0)+IF(AND(Ayarlar!$B$24=Ayarlar!$E$22,ISNUMBER(S19)),IF(R19="",Ayarlar!$B$7,R19),0)+IF(AND(Ayarlar!$B$25=Ayarlar!$E$22,ISNUMBER(W19)),IF(V19="",Ayarlar!$B$8,V19),0)+IF(AND(Ayarlar!$B$26=Ayarlar!$E$22,ISNUMBER(AA19)),IF(Z19="",Ayarlar!$B$9,Z19),0)+IF(AND(Ayarlar!$B$27=Ayarlar!$E$22,ISNUMBER(AE19)),IF(AD19="",Ayarlar!$B$10,AD19),0)+IF(AND(Ayarlar!$B$28=Ayarlar!$E$22,ISNUMBER(AI19)),IF(AH19="",Ayarlar!$B$11,AH19),0))*Ayarlar!$F$22,"")</f>
        <v/>
      </c>
      <c r="AS19" s="19">
        <f>IFERROR((IF(Ayarlar!$B$21=Ayarlar!$E$23,N(G19),0)+IF(Ayarlar!$B$22=Ayarlar!$E$23,N(K19),0)+IF(Ayarlar!$B$23=Ayarlar!$E$23,N(O19),0)+IF(Ayarlar!$B$24=Ayarlar!$E$23,N(S19),0)+IF(Ayarlar!$B$25=Ayarlar!$E$23,N(W19),0)+IF(Ayarlar!$B$26=Ayarlar!$E$23,N(AA19),0)+IF(Ayarlar!$B$27=Ayarlar!$E$23,N(AE19),0)+IF(Ayarlar!$B$28=Ayarlar!$E$23,N(AI19),0))/(IF(AND(Ayarlar!$B$21=Ayarlar!$E$23,ISNUMBER(G19)),IF(F19="",Ayarlar!$B$4,F19),0)+IF(AND(Ayarlar!$B$22=Ayarlar!$E$23,ISNUMBER(K19)),IF(J19="",Ayarlar!$B$5,J19),0)+IF(AND(Ayarlar!$B$23=Ayarlar!$E$23,ISNUMBER(O19)),IF(N19="",Ayarlar!$B$6,N19),0)+IF(AND(Ayarlar!$B$24=Ayarlar!$E$23,ISNUMBER(S19)),IF(R19="",Ayarlar!$B$7,R19),0)+IF(AND(Ayarlar!$B$25=Ayarlar!$E$23,ISNUMBER(W19)),IF(V19="",Ayarlar!$B$8,V19),0)+IF(AND(Ayarlar!$B$26=Ayarlar!$E$23,ISNUMBER(AA19)),IF(Z19="",Ayarlar!$B$9,Z19),0)+IF(AND(Ayarlar!$B$27=Ayarlar!$E$23,ISNUMBER(AE19)),IF(AD19="",Ayarlar!$B$10,AD19),0)+IF(AND(Ayarlar!$B$28=Ayarlar!$E$23,ISNUMBER(AI19)),IF(AH19="",Ayarlar!$B$11,AH19),0))*Ayarlar!$F$23,"")</f>
        <v/>
      </c>
      <c r="AT19" s="19">
        <f>IFERROR((IF(Ayarlar!$B$21=Ayarlar!$E$24,N(G19),0)+IF(Ayarlar!$B$22=Ayarlar!$E$24,N(K19),0)+IF(Ayarlar!$B$23=Ayarlar!$E$24,N(O19),0)+IF(Ayarlar!$B$24=Ayarlar!$E$24,N(S19),0)+IF(Ayarlar!$B$25=Ayarlar!$E$24,N(W19),0)+IF(Ayarlar!$B$26=Ayarlar!$E$24,N(AA19),0)+IF(Ayarlar!$B$27=Ayarlar!$E$24,N(AE19),0)+IF(Ayarlar!$B$28=Ayarlar!$E$24,N(AI19),0))/(IF(AND(Ayarlar!$B$21=Ayarlar!$E$24,ISNUMBER(G19)),IF(F19="",Ayarlar!$B$4,F19),0)+IF(AND(Ayarlar!$B$22=Ayarlar!$E$24,ISNUMBER(K19)),IF(J19="",Ayarlar!$B$5,J19),0)+IF(AND(Ayarlar!$B$23=Ayarlar!$E$24,ISNUMBER(O19)),IF(N19="",Ayarlar!$B$6,N19),0)+IF(AND(Ayarlar!$B$24=Ayarlar!$E$24,ISNUMBER(S19)),IF(R19="",Ayarlar!$B$7,R19),0)+IF(AND(Ayarlar!$B$25=Ayarlar!$E$24,ISNUMBER(W19)),IF(V19="",Ayarlar!$B$8,V19),0)+IF(AND(Ayarlar!$B$26=Ayarlar!$E$24,ISNUMBER(AA19)),IF(Z19="",Ayarlar!$B$9,Z19),0)+IF(AND(Ayarlar!$B$27=Ayarlar!$E$24,ISNUMBER(AE19)),IF(AD19="",Ayarlar!$B$10,AD19),0)+IF(AND(Ayarlar!$B$28=Ayarlar!$E$24,ISNUMBER(AI19)),IF(AH19="",Ayarlar!$B$11,AH19),0))*Ayarlar!$F$24,"")</f>
        <v/>
      </c>
      <c r="AU19" s="20">
        <f>IF(COUNT(AQ19,AR19,AS19,AT19)&lt;4,"",Ayarlar!$F$25+AQ19*Ayarlar!$G$21+AR19*Ayarlar!$G$22+AS19*Ayarlar!$G$23+AT19*Ayarlar!$G$24)</f>
        <v/>
      </c>
    </row>
    <row r="20">
      <c r="A20" s="10" t="n">
        <v>16</v>
      </c>
      <c r="B20" s="11" t="n"/>
      <c r="C20" s="4" t="n"/>
      <c r="D20" s="12" t="n"/>
      <c r="E20" s="12" t="n"/>
      <c r="F20" s="13" t="n"/>
      <c r="G20" s="14">
        <f>IF(AND(D20="",E20=""),"",D20-IF(Ayarlar!$B$16&gt;0,E20/Ayarlar!$B$16,0))</f>
        <v/>
      </c>
      <c r="H20" s="12" t="n"/>
      <c r="I20" s="12" t="n"/>
      <c r="J20" s="13" t="n"/>
      <c r="K20" s="14">
        <f>IF(AND(H20="",I20=""),"",H20-IF(Ayarlar!$B$16&gt;0,I20/Ayarlar!$B$16,0))</f>
        <v/>
      </c>
      <c r="L20" s="12" t="n"/>
      <c r="M20" s="12" t="n"/>
      <c r="N20" s="13" t="n"/>
      <c r="O20" s="14">
        <f>IF(AND(L20="",M20=""),"",L20-IF(Ayarlar!$B$16&gt;0,M20/Ayarlar!$B$16,0))</f>
        <v/>
      </c>
      <c r="P20" s="12" t="n"/>
      <c r="Q20" s="12" t="n"/>
      <c r="R20" s="13" t="n"/>
      <c r="S20" s="14">
        <f>IF(AND(P20="",Q20=""),"",P20-IF(Ayarlar!$B$16&gt;0,Q20/Ayarlar!$B$16,0))</f>
        <v/>
      </c>
      <c r="T20" s="12" t="n"/>
      <c r="U20" s="12" t="n"/>
      <c r="V20" s="13" t="n"/>
      <c r="W20" s="14">
        <f>IF(AND(T20="",U20=""),"",T20-IF(Ayarlar!$B$16&gt;0,U20/Ayarlar!$B$16,0))</f>
        <v/>
      </c>
      <c r="X20" s="12" t="n"/>
      <c r="Y20" s="12" t="n"/>
      <c r="Z20" s="13" t="n"/>
      <c r="AA20" s="14">
        <f>IF(AND(X20="",Y20=""),"",X20-IF(Ayarlar!$B$16&gt;0,Y20/Ayarlar!$B$16,0))</f>
        <v/>
      </c>
      <c r="AB20" s="12" t="n"/>
      <c r="AC20" s="12" t="n"/>
      <c r="AD20" s="13" t="n"/>
      <c r="AE20" s="14">
        <f>IF(AND(AB20="",AC20=""),"",AB20-IF(Ayarlar!$B$16&gt;0,AC20/Ayarlar!$B$16,0))</f>
        <v/>
      </c>
      <c r="AF20" s="12" t="n"/>
      <c r="AG20" s="12" t="n"/>
      <c r="AH20" s="13" t="n"/>
      <c r="AI20" s="14">
        <f>IF(AND(AF20="",AG20=""),"",AF20-IF(Ayarlar!$B$16&gt;0,AG20/Ayarlar!$B$16,0))</f>
        <v/>
      </c>
      <c r="AJ20" s="15">
        <f>IF(COUNT(D20,E20,H20,I20,L20,M20,P20,Q20,T20,U20,X20,Y20,AB20,AC20,AF20,AG20)=0,"",D20+H20+L20+P20+T20+X20+AB20+AF20)</f>
        <v/>
      </c>
      <c r="AK20" s="15">
        <f>IF(COUNT(D20,E20,H20,I20,L20,M20,P20,Q20,T20,U20,X20,Y20,AB20,AC20,AF20,AG20)=0,"",E20+I20+M20+Q20+U20+Y20+AC20+AG20)</f>
        <v/>
      </c>
      <c r="AL20" s="15">
        <f>IF(COUNT(D20,E20,H20,I20,L20,M20,P20,Q20,T20,U20,X20,Y20,AB20,AC20,AF20,AG20)=0,"",IF(ISNUMBER(G20),IF(F20="",Ayarlar!$B$4,F20),0)+IF(ISNUMBER(K20),IF(J20="",Ayarlar!$B$5,J20),0)+IF(ISNUMBER(O20),IF(N20="",Ayarlar!$B$6,N20),0)+IF(ISNUMBER(S20),IF(R20="",Ayarlar!$B$7,R20),0)+IF(ISNUMBER(W20),IF(V20="",Ayarlar!$B$8,V20),0)+IF(ISNUMBER(AA20),IF(Z20="",Ayarlar!$B$9,Z20),0)+IF(ISNUMBER(AE20),IF(AD20="",Ayarlar!$B$10,AD20),0)+IF(ISNUMBER(AI20),IF(AH20="",Ayarlar!$B$11,AH20),0))</f>
        <v/>
      </c>
      <c r="AM20" s="15">
        <f>IF(COUNT(D20,E20,H20,I20,L20,M20,P20,Q20,T20,U20,X20,Y20,AB20,AC20,AF20,AG20)=0,"",AL20-AJ20-AK20)</f>
        <v/>
      </c>
      <c r="AN20" s="16">
        <f>IF(COUNT(D20,E20,H20,I20,L20,M20,P20,Q20,T20,U20,X20,Y20,AB20,AC20,AF20,AG20)=0,"",SUM(G20,K20,O20,S20,W20,AA20,AE20,AI20))</f>
        <v/>
      </c>
      <c r="AO20" s="17">
        <f>IF(OR(COUNT(D20,E20,H20,I20,L20,M20,P20,Q20,T20,U20,X20,Y20,AB20,AC20,AF20,AG20)=0,N(AL20)=0),"",AN20/AL20)</f>
        <v/>
      </c>
      <c r="AP20" s="18">
        <f>IF(OR(AO20="",AO19=""),"",AO20-AO19)</f>
        <v/>
      </c>
      <c r="AQ20" s="19">
        <f>IFERROR((IF(Ayarlar!$B$21=Ayarlar!$E$21,N(G20),0)+IF(Ayarlar!$B$22=Ayarlar!$E$21,N(K20),0)+IF(Ayarlar!$B$23=Ayarlar!$E$21,N(O20),0)+IF(Ayarlar!$B$24=Ayarlar!$E$21,N(S20),0)+IF(Ayarlar!$B$25=Ayarlar!$E$21,N(W20),0)+IF(Ayarlar!$B$26=Ayarlar!$E$21,N(AA20),0)+IF(Ayarlar!$B$27=Ayarlar!$E$21,N(AE20),0)+IF(Ayarlar!$B$28=Ayarlar!$E$21,N(AI20),0))/(IF(AND(Ayarlar!$B$21=Ayarlar!$E$21,ISNUMBER(G20)),IF(F20="",Ayarlar!$B$4,F20),0)+IF(AND(Ayarlar!$B$22=Ayarlar!$E$21,ISNUMBER(K20)),IF(J20="",Ayarlar!$B$5,J20),0)+IF(AND(Ayarlar!$B$23=Ayarlar!$E$21,ISNUMBER(O20)),IF(N20="",Ayarlar!$B$6,N20),0)+IF(AND(Ayarlar!$B$24=Ayarlar!$E$21,ISNUMBER(S20)),IF(R20="",Ayarlar!$B$7,R20),0)+IF(AND(Ayarlar!$B$25=Ayarlar!$E$21,ISNUMBER(W20)),IF(V20="",Ayarlar!$B$8,V20),0)+IF(AND(Ayarlar!$B$26=Ayarlar!$E$21,ISNUMBER(AA20)),IF(Z20="",Ayarlar!$B$9,Z20),0)+IF(AND(Ayarlar!$B$27=Ayarlar!$E$21,ISNUMBER(AE20)),IF(AD20="",Ayarlar!$B$10,AD20),0)+IF(AND(Ayarlar!$B$28=Ayarlar!$E$21,ISNUMBER(AI20)),IF(AH20="",Ayarlar!$B$11,AH20),0))*Ayarlar!$F$21,"")</f>
        <v/>
      </c>
      <c r="AR20" s="19">
        <f>IFERROR((IF(Ayarlar!$B$21=Ayarlar!$E$22,N(G20),0)+IF(Ayarlar!$B$22=Ayarlar!$E$22,N(K20),0)+IF(Ayarlar!$B$23=Ayarlar!$E$22,N(O20),0)+IF(Ayarlar!$B$24=Ayarlar!$E$22,N(S20),0)+IF(Ayarlar!$B$25=Ayarlar!$E$22,N(W20),0)+IF(Ayarlar!$B$26=Ayarlar!$E$22,N(AA20),0)+IF(Ayarlar!$B$27=Ayarlar!$E$22,N(AE20),0)+IF(Ayarlar!$B$28=Ayarlar!$E$22,N(AI20),0))/(IF(AND(Ayarlar!$B$21=Ayarlar!$E$22,ISNUMBER(G20)),IF(F20="",Ayarlar!$B$4,F20),0)+IF(AND(Ayarlar!$B$22=Ayarlar!$E$22,ISNUMBER(K20)),IF(J20="",Ayarlar!$B$5,J20),0)+IF(AND(Ayarlar!$B$23=Ayarlar!$E$22,ISNUMBER(O20)),IF(N20="",Ayarlar!$B$6,N20),0)+IF(AND(Ayarlar!$B$24=Ayarlar!$E$22,ISNUMBER(S20)),IF(R20="",Ayarlar!$B$7,R20),0)+IF(AND(Ayarlar!$B$25=Ayarlar!$E$22,ISNUMBER(W20)),IF(V20="",Ayarlar!$B$8,V20),0)+IF(AND(Ayarlar!$B$26=Ayarlar!$E$22,ISNUMBER(AA20)),IF(Z20="",Ayarlar!$B$9,Z20),0)+IF(AND(Ayarlar!$B$27=Ayarlar!$E$22,ISNUMBER(AE20)),IF(AD20="",Ayarlar!$B$10,AD20),0)+IF(AND(Ayarlar!$B$28=Ayarlar!$E$22,ISNUMBER(AI20)),IF(AH20="",Ayarlar!$B$11,AH20),0))*Ayarlar!$F$22,"")</f>
        <v/>
      </c>
      <c r="AS20" s="19">
        <f>IFERROR((IF(Ayarlar!$B$21=Ayarlar!$E$23,N(G20),0)+IF(Ayarlar!$B$22=Ayarlar!$E$23,N(K20),0)+IF(Ayarlar!$B$23=Ayarlar!$E$23,N(O20),0)+IF(Ayarlar!$B$24=Ayarlar!$E$23,N(S20),0)+IF(Ayarlar!$B$25=Ayarlar!$E$23,N(W20),0)+IF(Ayarlar!$B$26=Ayarlar!$E$23,N(AA20),0)+IF(Ayarlar!$B$27=Ayarlar!$E$23,N(AE20),0)+IF(Ayarlar!$B$28=Ayarlar!$E$23,N(AI20),0))/(IF(AND(Ayarlar!$B$21=Ayarlar!$E$23,ISNUMBER(G20)),IF(F20="",Ayarlar!$B$4,F20),0)+IF(AND(Ayarlar!$B$22=Ayarlar!$E$23,ISNUMBER(K20)),IF(J20="",Ayarlar!$B$5,J20),0)+IF(AND(Ayarlar!$B$23=Ayarlar!$E$23,ISNUMBER(O20)),IF(N20="",Ayarlar!$B$6,N20),0)+IF(AND(Ayarlar!$B$24=Ayarlar!$E$23,ISNUMBER(S20)),IF(R20="",Ayarlar!$B$7,R20),0)+IF(AND(Ayarlar!$B$25=Ayarlar!$E$23,ISNUMBER(W20)),IF(V20="",Ayarlar!$B$8,V20),0)+IF(AND(Ayarlar!$B$26=Ayarlar!$E$23,ISNUMBER(AA20)),IF(Z20="",Ayarlar!$B$9,Z20),0)+IF(AND(Ayarlar!$B$27=Ayarlar!$E$23,ISNUMBER(AE20)),IF(AD20="",Ayarlar!$B$10,AD20),0)+IF(AND(Ayarlar!$B$28=Ayarlar!$E$23,ISNUMBER(AI20)),IF(AH20="",Ayarlar!$B$11,AH20),0))*Ayarlar!$F$23,"")</f>
        <v/>
      </c>
      <c r="AT20" s="19">
        <f>IFERROR((IF(Ayarlar!$B$21=Ayarlar!$E$24,N(G20),0)+IF(Ayarlar!$B$22=Ayarlar!$E$24,N(K20),0)+IF(Ayarlar!$B$23=Ayarlar!$E$24,N(O20),0)+IF(Ayarlar!$B$24=Ayarlar!$E$24,N(S20),0)+IF(Ayarlar!$B$25=Ayarlar!$E$24,N(W20),0)+IF(Ayarlar!$B$26=Ayarlar!$E$24,N(AA20),0)+IF(Ayarlar!$B$27=Ayarlar!$E$24,N(AE20),0)+IF(Ayarlar!$B$28=Ayarlar!$E$24,N(AI20),0))/(IF(AND(Ayarlar!$B$21=Ayarlar!$E$24,ISNUMBER(G20)),IF(F20="",Ayarlar!$B$4,F20),0)+IF(AND(Ayarlar!$B$22=Ayarlar!$E$24,ISNUMBER(K20)),IF(J20="",Ayarlar!$B$5,J20),0)+IF(AND(Ayarlar!$B$23=Ayarlar!$E$24,ISNUMBER(O20)),IF(N20="",Ayarlar!$B$6,N20),0)+IF(AND(Ayarlar!$B$24=Ayarlar!$E$24,ISNUMBER(S20)),IF(R20="",Ayarlar!$B$7,R20),0)+IF(AND(Ayarlar!$B$25=Ayarlar!$E$24,ISNUMBER(W20)),IF(V20="",Ayarlar!$B$8,V20),0)+IF(AND(Ayarlar!$B$26=Ayarlar!$E$24,ISNUMBER(AA20)),IF(Z20="",Ayarlar!$B$9,Z20),0)+IF(AND(Ayarlar!$B$27=Ayarlar!$E$24,ISNUMBER(AE20)),IF(AD20="",Ayarlar!$B$10,AD20),0)+IF(AND(Ayarlar!$B$28=Ayarlar!$E$24,ISNUMBER(AI20)),IF(AH20="",Ayarlar!$B$11,AH20),0))*Ayarlar!$F$24,"")</f>
        <v/>
      </c>
      <c r="AU20" s="20">
        <f>IF(COUNT(AQ20,AR20,AS20,AT20)&lt;4,"",Ayarlar!$F$25+AQ20*Ayarlar!$G$21+AR20*Ayarlar!$G$22+AS20*Ayarlar!$G$23+AT20*Ayarlar!$G$24)</f>
        <v/>
      </c>
    </row>
    <row r="21">
      <c r="A21" s="10" t="n">
        <v>17</v>
      </c>
      <c r="B21" s="11" t="n"/>
      <c r="C21" s="4" t="n"/>
      <c r="D21" s="12" t="n"/>
      <c r="E21" s="12" t="n"/>
      <c r="F21" s="13" t="n"/>
      <c r="G21" s="14">
        <f>IF(AND(D21="",E21=""),"",D21-IF(Ayarlar!$B$16&gt;0,E21/Ayarlar!$B$16,0))</f>
        <v/>
      </c>
      <c r="H21" s="12" t="n"/>
      <c r="I21" s="12" t="n"/>
      <c r="J21" s="13" t="n"/>
      <c r="K21" s="14">
        <f>IF(AND(H21="",I21=""),"",H21-IF(Ayarlar!$B$16&gt;0,I21/Ayarlar!$B$16,0))</f>
        <v/>
      </c>
      <c r="L21" s="12" t="n"/>
      <c r="M21" s="12" t="n"/>
      <c r="N21" s="13" t="n"/>
      <c r="O21" s="14">
        <f>IF(AND(L21="",M21=""),"",L21-IF(Ayarlar!$B$16&gt;0,M21/Ayarlar!$B$16,0))</f>
        <v/>
      </c>
      <c r="P21" s="12" t="n"/>
      <c r="Q21" s="12" t="n"/>
      <c r="R21" s="13" t="n"/>
      <c r="S21" s="14">
        <f>IF(AND(P21="",Q21=""),"",P21-IF(Ayarlar!$B$16&gt;0,Q21/Ayarlar!$B$16,0))</f>
        <v/>
      </c>
      <c r="T21" s="12" t="n"/>
      <c r="U21" s="12" t="n"/>
      <c r="V21" s="13" t="n"/>
      <c r="W21" s="14">
        <f>IF(AND(T21="",U21=""),"",T21-IF(Ayarlar!$B$16&gt;0,U21/Ayarlar!$B$16,0))</f>
        <v/>
      </c>
      <c r="X21" s="12" t="n"/>
      <c r="Y21" s="12" t="n"/>
      <c r="Z21" s="13" t="n"/>
      <c r="AA21" s="14">
        <f>IF(AND(X21="",Y21=""),"",X21-IF(Ayarlar!$B$16&gt;0,Y21/Ayarlar!$B$16,0))</f>
        <v/>
      </c>
      <c r="AB21" s="12" t="n"/>
      <c r="AC21" s="12" t="n"/>
      <c r="AD21" s="13" t="n"/>
      <c r="AE21" s="14">
        <f>IF(AND(AB21="",AC21=""),"",AB21-IF(Ayarlar!$B$16&gt;0,AC21/Ayarlar!$B$16,0))</f>
        <v/>
      </c>
      <c r="AF21" s="12" t="n"/>
      <c r="AG21" s="12" t="n"/>
      <c r="AH21" s="13" t="n"/>
      <c r="AI21" s="14">
        <f>IF(AND(AF21="",AG21=""),"",AF21-IF(Ayarlar!$B$16&gt;0,AG21/Ayarlar!$B$16,0))</f>
        <v/>
      </c>
      <c r="AJ21" s="15">
        <f>IF(COUNT(D21,E21,H21,I21,L21,M21,P21,Q21,T21,U21,X21,Y21,AB21,AC21,AF21,AG21)=0,"",D21+H21+L21+P21+T21+X21+AB21+AF21)</f>
        <v/>
      </c>
      <c r="AK21" s="15">
        <f>IF(COUNT(D21,E21,H21,I21,L21,M21,P21,Q21,T21,U21,X21,Y21,AB21,AC21,AF21,AG21)=0,"",E21+I21+M21+Q21+U21+Y21+AC21+AG21)</f>
        <v/>
      </c>
      <c r="AL21" s="15">
        <f>IF(COUNT(D21,E21,H21,I21,L21,M21,P21,Q21,T21,U21,X21,Y21,AB21,AC21,AF21,AG21)=0,"",IF(ISNUMBER(G21),IF(F21="",Ayarlar!$B$4,F21),0)+IF(ISNUMBER(K21),IF(J21="",Ayarlar!$B$5,J21),0)+IF(ISNUMBER(O21),IF(N21="",Ayarlar!$B$6,N21),0)+IF(ISNUMBER(S21),IF(R21="",Ayarlar!$B$7,R21),0)+IF(ISNUMBER(W21),IF(V21="",Ayarlar!$B$8,V21),0)+IF(ISNUMBER(AA21),IF(Z21="",Ayarlar!$B$9,Z21),0)+IF(ISNUMBER(AE21),IF(AD21="",Ayarlar!$B$10,AD21),0)+IF(ISNUMBER(AI21),IF(AH21="",Ayarlar!$B$11,AH21),0))</f>
        <v/>
      </c>
      <c r="AM21" s="15">
        <f>IF(COUNT(D21,E21,H21,I21,L21,M21,P21,Q21,T21,U21,X21,Y21,AB21,AC21,AF21,AG21)=0,"",AL21-AJ21-AK21)</f>
        <v/>
      </c>
      <c r="AN21" s="16">
        <f>IF(COUNT(D21,E21,H21,I21,L21,M21,P21,Q21,T21,U21,X21,Y21,AB21,AC21,AF21,AG21)=0,"",SUM(G21,K21,O21,S21,W21,AA21,AE21,AI21))</f>
        <v/>
      </c>
      <c r="AO21" s="17">
        <f>IF(OR(COUNT(D21,E21,H21,I21,L21,M21,P21,Q21,T21,U21,X21,Y21,AB21,AC21,AF21,AG21)=0,N(AL21)=0),"",AN21/AL21)</f>
        <v/>
      </c>
      <c r="AP21" s="18">
        <f>IF(OR(AO21="",AO20=""),"",AO21-AO20)</f>
        <v/>
      </c>
      <c r="AQ21" s="19">
        <f>IFERROR((IF(Ayarlar!$B$21=Ayarlar!$E$21,N(G21),0)+IF(Ayarlar!$B$22=Ayarlar!$E$21,N(K21),0)+IF(Ayarlar!$B$23=Ayarlar!$E$21,N(O21),0)+IF(Ayarlar!$B$24=Ayarlar!$E$21,N(S21),0)+IF(Ayarlar!$B$25=Ayarlar!$E$21,N(W21),0)+IF(Ayarlar!$B$26=Ayarlar!$E$21,N(AA21),0)+IF(Ayarlar!$B$27=Ayarlar!$E$21,N(AE21),0)+IF(Ayarlar!$B$28=Ayarlar!$E$21,N(AI21),0))/(IF(AND(Ayarlar!$B$21=Ayarlar!$E$21,ISNUMBER(G21)),IF(F21="",Ayarlar!$B$4,F21),0)+IF(AND(Ayarlar!$B$22=Ayarlar!$E$21,ISNUMBER(K21)),IF(J21="",Ayarlar!$B$5,J21),0)+IF(AND(Ayarlar!$B$23=Ayarlar!$E$21,ISNUMBER(O21)),IF(N21="",Ayarlar!$B$6,N21),0)+IF(AND(Ayarlar!$B$24=Ayarlar!$E$21,ISNUMBER(S21)),IF(R21="",Ayarlar!$B$7,R21),0)+IF(AND(Ayarlar!$B$25=Ayarlar!$E$21,ISNUMBER(W21)),IF(V21="",Ayarlar!$B$8,V21),0)+IF(AND(Ayarlar!$B$26=Ayarlar!$E$21,ISNUMBER(AA21)),IF(Z21="",Ayarlar!$B$9,Z21),0)+IF(AND(Ayarlar!$B$27=Ayarlar!$E$21,ISNUMBER(AE21)),IF(AD21="",Ayarlar!$B$10,AD21),0)+IF(AND(Ayarlar!$B$28=Ayarlar!$E$21,ISNUMBER(AI21)),IF(AH21="",Ayarlar!$B$11,AH21),0))*Ayarlar!$F$21,"")</f>
        <v/>
      </c>
      <c r="AR21" s="19">
        <f>IFERROR((IF(Ayarlar!$B$21=Ayarlar!$E$22,N(G21),0)+IF(Ayarlar!$B$22=Ayarlar!$E$22,N(K21),0)+IF(Ayarlar!$B$23=Ayarlar!$E$22,N(O21),0)+IF(Ayarlar!$B$24=Ayarlar!$E$22,N(S21),0)+IF(Ayarlar!$B$25=Ayarlar!$E$22,N(W21),0)+IF(Ayarlar!$B$26=Ayarlar!$E$22,N(AA21),0)+IF(Ayarlar!$B$27=Ayarlar!$E$22,N(AE21),0)+IF(Ayarlar!$B$28=Ayarlar!$E$22,N(AI21),0))/(IF(AND(Ayarlar!$B$21=Ayarlar!$E$22,ISNUMBER(G21)),IF(F21="",Ayarlar!$B$4,F21),0)+IF(AND(Ayarlar!$B$22=Ayarlar!$E$22,ISNUMBER(K21)),IF(J21="",Ayarlar!$B$5,J21),0)+IF(AND(Ayarlar!$B$23=Ayarlar!$E$22,ISNUMBER(O21)),IF(N21="",Ayarlar!$B$6,N21),0)+IF(AND(Ayarlar!$B$24=Ayarlar!$E$22,ISNUMBER(S21)),IF(R21="",Ayarlar!$B$7,R21),0)+IF(AND(Ayarlar!$B$25=Ayarlar!$E$22,ISNUMBER(W21)),IF(V21="",Ayarlar!$B$8,V21),0)+IF(AND(Ayarlar!$B$26=Ayarlar!$E$22,ISNUMBER(AA21)),IF(Z21="",Ayarlar!$B$9,Z21),0)+IF(AND(Ayarlar!$B$27=Ayarlar!$E$22,ISNUMBER(AE21)),IF(AD21="",Ayarlar!$B$10,AD21),0)+IF(AND(Ayarlar!$B$28=Ayarlar!$E$22,ISNUMBER(AI21)),IF(AH21="",Ayarlar!$B$11,AH21),0))*Ayarlar!$F$22,"")</f>
        <v/>
      </c>
      <c r="AS21" s="19">
        <f>IFERROR((IF(Ayarlar!$B$21=Ayarlar!$E$23,N(G21),0)+IF(Ayarlar!$B$22=Ayarlar!$E$23,N(K21),0)+IF(Ayarlar!$B$23=Ayarlar!$E$23,N(O21),0)+IF(Ayarlar!$B$24=Ayarlar!$E$23,N(S21),0)+IF(Ayarlar!$B$25=Ayarlar!$E$23,N(W21),0)+IF(Ayarlar!$B$26=Ayarlar!$E$23,N(AA21),0)+IF(Ayarlar!$B$27=Ayarlar!$E$23,N(AE21),0)+IF(Ayarlar!$B$28=Ayarlar!$E$23,N(AI21),0))/(IF(AND(Ayarlar!$B$21=Ayarlar!$E$23,ISNUMBER(G21)),IF(F21="",Ayarlar!$B$4,F21),0)+IF(AND(Ayarlar!$B$22=Ayarlar!$E$23,ISNUMBER(K21)),IF(J21="",Ayarlar!$B$5,J21),0)+IF(AND(Ayarlar!$B$23=Ayarlar!$E$23,ISNUMBER(O21)),IF(N21="",Ayarlar!$B$6,N21),0)+IF(AND(Ayarlar!$B$24=Ayarlar!$E$23,ISNUMBER(S21)),IF(R21="",Ayarlar!$B$7,R21),0)+IF(AND(Ayarlar!$B$25=Ayarlar!$E$23,ISNUMBER(W21)),IF(V21="",Ayarlar!$B$8,V21),0)+IF(AND(Ayarlar!$B$26=Ayarlar!$E$23,ISNUMBER(AA21)),IF(Z21="",Ayarlar!$B$9,Z21),0)+IF(AND(Ayarlar!$B$27=Ayarlar!$E$23,ISNUMBER(AE21)),IF(AD21="",Ayarlar!$B$10,AD21),0)+IF(AND(Ayarlar!$B$28=Ayarlar!$E$23,ISNUMBER(AI21)),IF(AH21="",Ayarlar!$B$11,AH21),0))*Ayarlar!$F$23,"")</f>
        <v/>
      </c>
      <c r="AT21" s="19">
        <f>IFERROR((IF(Ayarlar!$B$21=Ayarlar!$E$24,N(G21),0)+IF(Ayarlar!$B$22=Ayarlar!$E$24,N(K21),0)+IF(Ayarlar!$B$23=Ayarlar!$E$24,N(O21),0)+IF(Ayarlar!$B$24=Ayarlar!$E$24,N(S21),0)+IF(Ayarlar!$B$25=Ayarlar!$E$24,N(W21),0)+IF(Ayarlar!$B$26=Ayarlar!$E$24,N(AA21),0)+IF(Ayarlar!$B$27=Ayarlar!$E$24,N(AE21),0)+IF(Ayarlar!$B$28=Ayarlar!$E$24,N(AI21),0))/(IF(AND(Ayarlar!$B$21=Ayarlar!$E$24,ISNUMBER(G21)),IF(F21="",Ayarlar!$B$4,F21),0)+IF(AND(Ayarlar!$B$22=Ayarlar!$E$24,ISNUMBER(K21)),IF(J21="",Ayarlar!$B$5,J21),0)+IF(AND(Ayarlar!$B$23=Ayarlar!$E$24,ISNUMBER(O21)),IF(N21="",Ayarlar!$B$6,N21),0)+IF(AND(Ayarlar!$B$24=Ayarlar!$E$24,ISNUMBER(S21)),IF(R21="",Ayarlar!$B$7,R21),0)+IF(AND(Ayarlar!$B$25=Ayarlar!$E$24,ISNUMBER(W21)),IF(V21="",Ayarlar!$B$8,V21),0)+IF(AND(Ayarlar!$B$26=Ayarlar!$E$24,ISNUMBER(AA21)),IF(Z21="",Ayarlar!$B$9,Z21),0)+IF(AND(Ayarlar!$B$27=Ayarlar!$E$24,ISNUMBER(AE21)),IF(AD21="",Ayarlar!$B$10,AD21),0)+IF(AND(Ayarlar!$B$28=Ayarlar!$E$24,ISNUMBER(AI21)),IF(AH21="",Ayarlar!$B$11,AH21),0))*Ayarlar!$F$24,"")</f>
        <v/>
      </c>
      <c r="AU21" s="20">
        <f>IF(COUNT(AQ21,AR21,AS21,AT21)&lt;4,"",Ayarlar!$F$25+AQ21*Ayarlar!$G$21+AR21*Ayarlar!$G$22+AS21*Ayarlar!$G$23+AT21*Ayarlar!$G$24)</f>
        <v/>
      </c>
    </row>
    <row r="22">
      <c r="A22" s="10" t="n">
        <v>18</v>
      </c>
      <c r="B22" s="11" t="n"/>
      <c r="C22" s="4" t="n"/>
      <c r="D22" s="12" t="n"/>
      <c r="E22" s="12" t="n"/>
      <c r="F22" s="13" t="n"/>
      <c r="G22" s="14">
        <f>IF(AND(D22="",E22=""),"",D22-IF(Ayarlar!$B$16&gt;0,E22/Ayarlar!$B$16,0))</f>
        <v/>
      </c>
      <c r="H22" s="12" t="n"/>
      <c r="I22" s="12" t="n"/>
      <c r="J22" s="13" t="n"/>
      <c r="K22" s="14">
        <f>IF(AND(H22="",I22=""),"",H22-IF(Ayarlar!$B$16&gt;0,I22/Ayarlar!$B$16,0))</f>
        <v/>
      </c>
      <c r="L22" s="12" t="n"/>
      <c r="M22" s="12" t="n"/>
      <c r="N22" s="13" t="n"/>
      <c r="O22" s="14">
        <f>IF(AND(L22="",M22=""),"",L22-IF(Ayarlar!$B$16&gt;0,M22/Ayarlar!$B$16,0))</f>
        <v/>
      </c>
      <c r="P22" s="12" t="n"/>
      <c r="Q22" s="12" t="n"/>
      <c r="R22" s="13" t="n"/>
      <c r="S22" s="14">
        <f>IF(AND(P22="",Q22=""),"",P22-IF(Ayarlar!$B$16&gt;0,Q22/Ayarlar!$B$16,0))</f>
        <v/>
      </c>
      <c r="T22" s="12" t="n"/>
      <c r="U22" s="12" t="n"/>
      <c r="V22" s="13" t="n"/>
      <c r="W22" s="14">
        <f>IF(AND(T22="",U22=""),"",T22-IF(Ayarlar!$B$16&gt;0,U22/Ayarlar!$B$16,0))</f>
        <v/>
      </c>
      <c r="X22" s="12" t="n"/>
      <c r="Y22" s="12" t="n"/>
      <c r="Z22" s="13" t="n"/>
      <c r="AA22" s="14">
        <f>IF(AND(X22="",Y22=""),"",X22-IF(Ayarlar!$B$16&gt;0,Y22/Ayarlar!$B$16,0))</f>
        <v/>
      </c>
      <c r="AB22" s="12" t="n"/>
      <c r="AC22" s="12" t="n"/>
      <c r="AD22" s="13" t="n"/>
      <c r="AE22" s="14">
        <f>IF(AND(AB22="",AC22=""),"",AB22-IF(Ayarlar!$B$16&gt;0,AC22/Ayarlar!$B$16,0))</f>
        <v/>
      </c>
      <c r="AF22" s="12" t="n"/>
      <c r="AG22" s="12" t="n"/>
      <c r="AH22" s="13" t="n"/>
      <c r="AI22" s="14">
        <f>IF(AND(AF22="",AG22=""),"",AF22-IF(Ayarlar!$B$16&gt;0,AG22/Ayarlar!$B$16,0))</f>
        <v/>
      </c>
      <c r="AJ22" s="15">
        <f>IF(COUNT(D22,E22,H22,I22,L22,M22,P22,Q22,T22,U22,X22,Y22,AB22,AC22,AF22,AG22)=0,"",D22+H22+L22+P22+T22+X22+AB22+AF22)</f>
        <v/>
      </c>
      <c r="AK22" s="15">
        <f>IF(COUNT(D22,E22,H22,I22,L22,M22,P22,Q22,T22,U22,X22,Y22,AB22,AC22,AF22,AG22)=0,"",E22+I22+M22+Q22+U22+Y22+AC22+AG22)</f>
        <v/>
      </c>
      <c r="AL22" s="15">
        <f>IF(COUNT(D22,E22,H22,I22,L22,M22,P22,Q22,T22,U22,X22,Y22,AB22,AC22,AF22,AG22)=0,"",IF(ISNUMBER(G22),IF(F22="",Ayarlar!$B$4,F22),0)+IF(ISNUMBER(K22),IF(J22="",Ayarlar!$B$5,J22),0)+IF(ISNUMBER(O22),IF(N22="",Ayarlar!$B$6,N22),0)+IF(ISNUMBER(S22),IF(R22="",Ayarlar!$B$7,R22),0)+IF(ISNUMBER(W22),IF(V22="",Ayarlar!$B$8,V22),0)+IF(ISNUMBER(AA22),IF(Z22="",Ayarlar!$B$9,Z22),0)+IF(ISNUMBER(AE22),IF(AD22="",Ayarlar!$B$10,AD22),0)+IF(ISNUMBER(AI22),IF(AH22="",Ayarlar!$B$11,AH22),0))</f>
        <v/>
      </c>
      <c r="AM22" s="15">
        <f>IF(COUNT(D22,E22,H22,I22,L22,M22,P22,Q22,T22,U22,X22,Y22,AB22,AC22,AF22,AG22)=0,"",AL22-AJ22-AK22)</f>
        <v/>
      </c>
      <c r="AN22" s="16">
        <f>IF(COUNT(D22,E22,H22,I22,L22,M22,P22,Q22,T22,U22,X22,Y22,AB22,AC22,AF22,AG22)=0,"",SUM(G22,K22,O22,S22,W22,AA22,AE22,AI22))</f>
        <v/>
      </c>
      <c r="AO22" s="17">
        <f>IF(OR(COUNT(D22,E22,H22,I22,L22,M22,P22,Q22,T22,U22,X22,Y22,AB22,AC22,AF22,AG22)=0,N(AL22)=0),"",AN22/AL22)</f>
        <v/>
      </c>
      <c r="AP22" s="18">
        <f>IF(OR(AO22="",AO21=""),"",AO22-AO21)</f>
        <v/>
      </c>
      <c r="AQ22" s="19">
        <f>IFERROR((IF(Ayarlar!$B$21=Ayarlar!$E$21,N(G22),0)+IF(Ayarlar!$B$22=Ayarlar!$E$21,N(K22),0)+IF(Ayarlar!$B$23=Ayarlar!$E$21,N(O22),0)+IF(Ayarlar!$B$24=Ayarlar!$E$21,N(S22),0)+IF(Ayarlar!$B$25=Ayarlar!$E$21,N(W22),0)+IF(Ayarlar!$B$26=Ayarlar!$E$21,N(AA22),0)+IF(Ayarlar!$B$27=Ayarlar!$E$21,N(AE22),0)+IF(Ayarlar!$B$28=Ayarlar!$E$21,N(AI22),0))/(IF(AND(Ayarlar!$B$21=Ayarlar!$E$21,ISNUMBER(G22)),IF(F22="",Ayarlar!$B$4,F22),0)+IF(AND(Ayarlar!$B$22=Ayarlar!$E$21,ISNUMBER(K22)),IF(J22="",Ayarlar!$B$5,J22),0)+IF(AND(Ayarlar!$B$23=Ayarlar!$E$21,ISNUMBER(O22)),IF(N22="",Ayarlar!$B$6,N22),0)+IF(AND(Ayarlar!$B$24=Ayarlar!$E$21,ISNUMBER(S22)),IF(R22="",Ayarlar!$B$7,R22),0)+IF(AND(Ayarlar!$B$25=Ayarlar!$E$21,ISNUMBER(W22)),IF(V22="",Ayarlar!$B$8,V22),0)+IF(AND(Ayarlar!$B$26=Ayarlar!$E$21,ISNUMBER(AA22)),IF(Z22="",Ayarlar!$B$9,Z22),0)+IF(AND(Ayarlar!$B$27=Ayarlar!$E$21,ISNUMBER(AE22)),IF(AD22="",Ayarlar!$B$10,AD22),0)+IF(AND(Ayarlar!$B$28=Ayarlar!$E$21,ISNUMBER(AI22)),IF(AH22="",Ayarlar!$B$11,AH22),0))*Ayarlar!$F$21,"")</f>
        <v/>
      </c>
      <c r="AR22" s="19">
        <f>IFERROR((IF(Ayarlar!$B$21=Ayarlar!$E$22,N(G22),0)+IF(Ayarlar!$B$22=Ayarlar!$E$22,N(K22),0)+IF(Ayarlar!$B$23=Ayarlar!$E$22,N(O22),0)+IF(Ayarlar!$B$24=Ayarlar!$E$22,N(S22),0)+IF(Ayarlar!$B$25=Ayarlar!$E$22,N(W22),0)+IF(Ayarlar!$B$26=Ayarlar!$E$22,N(AA22),0)+IF(Ayarlar!$B$27=Ayarlar!$E$22,N(AE22),0)+IF(Ayarlar!$B$28=Ayarlar!$E$22,N(AI22),0))/(IF(AND(Ayarlar!$B$21=Ayarlar!$E$22,ISNUMBER(G22)),IF(F22="",Ayarlar!$B$4,F22),0)+IF(AND(Ayarlar!$B$22=Ayarlar!$E$22,ISNUMBER(K22)),IF(J22="",Ayarlar!$B$5,J22),0)+IF(AND(Ayarlar!$B$23=Ayarlar!$E$22,ISNUMBER(O22)),IF(N22="",Ayarlar!$B$6,N22),0)+IF(AND(Ayarlar!$B$24=Ayarlar!$E$22,ISNUMBER(S22)),IF(R22="",Ayarlar!$B$7,R22),0)+IF(AND(Ayarlar!$B$25=Ayarlar!$E$22,ISNUMBER(W22)),IF(V22="",Ayarlar!$B$8,V22),0)+IF(AND(Ayarlar!$B$26=Ayarlar!$E$22,ISNUMBER(AA22)),IF(Z22="",Ayarlar!$B$9,Z22),0)+IF(AND(Ayarlar!$B$27=Ayarlar!$E$22,ISNUMBER(AE22)),IF(AD22="",Ayarlar!$B$10,AD22),0)+IF(AND(Ayarlar!$B$28=Ayarlar!$E$22,ISNUMBER(AI22)),IF(AH22="",Ayarlar!$B$11,AH22),0))*Ayarlar!$F$22,"")</f>
        <v/>
      </c>
      <c r="AS22" s="19">
        <f>IFERROR((IF(Ayarlar!$B$21=Ayarlar!$E$23,N(G22),0)+IF(Ayarlar!$B$22=Ayarlar!$E$23,N(K22),0)+IF(Ayarlar!$B$23=Ayarlar!$E$23,N(O22),0)+IF(Ayarlar!$B$24=Ayarlar!$E$23,N(S22),0)+IF(Ayarlar!$B$25=Ayarlar!$E$23,N(W22),0)+IF(Ayarlar!$B$26=Ayarlar!$E$23,N(AA22),0)+IF(Ayarlar!$B$27=Ayarlar!$E$23,N(AE22),0)+IF(Ayarlar!$B$28=Ayarlar!$E$23,N(AI22),0))/(IF(AND(Ayarlar!$B$21=Ayarlar!$E$23,ISNUMBER(G22)),IF(F22="",Ayarlar!$B$4,F22),0)+IF(AND(Ayarlar!$B$22=Ayarlar!$E$23,ISNUMBER(K22)),IF(J22="",Ayarlar!$B$5,J22),0)+IF(AND(Ayarlar!$B$23=Ayarlar!$E$23,ISNUMBER(O22)),IF(N22="",Ayarlar!$B$6,N22),0)+IF(AND(Ayarlar!$B$24=Ayarlar!$E$23,ISNUMBER(S22)),IF(R22="",Ayarlar!$B$7,R22),0)+IF(AND(Ayarlar!$B$25=Ayarlar!$E$23,ISNUMBER(W22)),IF(V22="",Ayarlar!$B$8,V22),0)+IF(AND(Ayarlar!$B$26=Ayarlar!$E$23,ISNUMBER(AA22)),IF(Z22="",Ayarlar!$B$9,Z22),0)+IF(AND(Ayarlar!$B$27=Ayarlar!$E$23,ISNUMBER(AE22)),IF(AD22="",Ayarlar!$B$10,AD22),0)+IF(AND(Ayarlar!$B$28=Ayarlar!$E$23,ISNUMBER(AI22)),IF(AH22="",Ayarlar!$B$11,AH22),0))*Ayarlar!$F$23,"")</f>
        <v/>
      </c>
      <c r="AT22" s="19">
        <f>IFERROR((IF(Ayarlar!$B$21=Ayarlar!$E$24,N(G22),0)+IF(Ayarlar!$B$22=Ayarlar!$E$24,N(K22),0)+IF(Ayarlar!$B$23=Ayarlar!$E$24,N(O22),0)+IF(Ayarlar!$B$24=Ayarlar!$E$24,N(S22),0)+IF(Ayarlar!$B$25=Ayarlar!$E$24,N(W22),0)+IF(Ayarlar!$B$26=Ayarlar!$E$24,N(AA22),0)+IF(Ayarlar!$B$27=Ayarlar!$E$24,N(AE22),0)+IF(Ayarlar!$B$28=Ayarlar!$E$24,N(AI22),0))/(IF(AND(Ayarlar!$B$21=Ayarlar!$E$24,ISNUMBER(G22)),IF(F22="",Ayarlar!$B$4,F22),0)+IF(AND(Ayarlar!$B$22=Ayarlar!$E$24,ISNUMBER(K22)),IF(J22="",Ayarlar!$B$5,J22),0)+IF(AND(Ayarlar!$B$23=Ayarlar!$E$24,ISNUMBER(O22)),IF(N22="",Ayarlar!$B$6,N22),0)+IF(AND(Ayarlar!$B$24=Ayarlar!$E$24,ISNUMBER(S22)),IF(R22="",Ayarlar!$B$7,R22),0)+IF(AND(Ayarlar!$B$25=Ayarlar!$E$24,ISNUMBER(W22)),IF(V22="",Ayarlar!$B$8,V22),0)+IF(AND(Ayarlar!$B$26=Ayarlar!$E$24,ISNUMBER(AA22)),IF(Z22="",Ayarlar!$B$9,Z22),0)+IF(AND(Ayarlar!$B$27=Ayarlar!$E$24,ISNUMBER(AE22)),IF(AD22="",Ayarlar!$B$10,AD22),0)+IF(AND(Ayarlar!$B$28=Ayarlar!$E$24,ISNUMBER(AI22)),IF(AH22="",Ayarlar!$B$11,AH22),0))*Ayarlar!$F$24,"")</f>
        <v/>
      </c>
      <c r="AU22" s="20">
        <f>IF(COUNT(AQ22,AR22,AS22,AT22)&lt;4,"",Ayarlar!$F$25+AQ22*Ayarlar!$G$21+AR22*Ayarlar!$G$22+AS22*Ayarlar!$G$23+AT22*Ayarlar!$G$24)</f>
        <v/>
      </c>
    </row>
    <row r="23">
      <c r="A23" s="10" t="n">
        <v>19</v>
      </c>
      <c r="B23" s="11" t="n"/>
      <c r="C23" s="4" t="n"/>
      <c r="D23" s="12" t="n"/>
      <c r="E23" s="12" t="n"/>
      <c r="F23" s="13" t="n"/>
      <c r="G23" s="14">
        <f>IF(AND(D23="",E23=""),"",D23-IF(Ayarlar!$B$16&gt;0,E23/Ayarlar!$B$16,0))</f>
        <v/>
      </c>
      <c r="H23" s="12" t="n"/>
      <c r="I23" s="12" t="n"/>
      <c r="J23" s="13" t="n"/>
      <c r="K23" s="14">
        <f>IF(AND(H23="",I23=""),"",H23-IF(Ayarlar!$B$16&gt;0,I23/Ayarlar!$B$16,0))</f>
        <v/>
      </c>
      <c r="L23" s="12" t="n"/>
      <c r="M23" s="12" t="n"/>
      <c r="N23" s="13" t="n"/>
      <c r="O23" s="14">
        <f>IF(AND(L23="",M23=""),"",L23-IF(Ayarlar!$B$16&gt;0,M23/Ayarlar!$B$16,0))</f>
        <v/>
      </c>
      <c r="P23" s="12" t="n"/>
      <c r="Q23" s="12" t="n"/>
      <c r="R23" s="13" t="n"/>
      <c r="S23" s="14">
        <f>IF(AND(P23="",Q23=""),"",P23-IF(Ayarlar!$B$16&gt;0,Q23/Ayarlar!$B$16,0))</f>
        <v/>
      </c>
      <c r="T23" s="12" t="n"/>
      <c r="U23" s="12" t="n"/>
      <c r="V23" s="13" t="n"/>
      <c r="W23" s="14">
        <f>IF(AND(T23="",U23=""),"",T23-IF(Ayarlar!$B$16&gt;0,U23/Ayarlar!$B$16,0))</f>
        <v/>
      </c>
      <c r="X23" s="12" t="n"/>
      <c r="Y23" s="12" t="n"/>
      <c r="Z23" s="13" t="n"/>
      <c r="AA23" s="14">
        <f>IF(AND(X23="",Y23=""),"",X23-IF(Ayarlar!$B$16&gt;0,Y23/Ayarlar!$B$16,0))</f>
        <v/>
      </c>
      <c r="AB23" s="12" t="n"/>
      <c r="AC23" s="12" t="n"/>
      <c r="AD23" s="13" t="n"/>
      <c r="AE23" s="14">
        <f>IF(AND(AB23="",AC23=""),"",AB23-IF(Ayarlar!$B$16&gt;0,AC23/Ayarlar!$B$16,0))</f>
        <v/>
      </c>
      <c r="AF23" s="12" t="n"/>
      <c r="AG23" s="12" t="n"/>
      <c r="AH23" s="13" t="n"/>
      <c r="AI23" s="14">
        <f>IF(AND(AF23="",AG23=""),"",AF23-IF(Ayarlar!$B$16&gt;0,AG23/Ayarlar!$B$16,0))</f>
        <v/>
      </c>
      <c r="AJ23" s="15">
        <f>IF(COUNT(D23,E23,H23,I23,L23,M23,P23,Q23,T23,U23,X23,Y23,AB23,AC23,AF23,AG23)=0,"",D23+H23+L23+P23+T23+X23+AB23+AF23)</f>
        <v/>
      </c>
      <c r="AK23" s="15">
        <f>IF(COUNT(D23,E23,H23,I23,L23,M23,P23,Q23,T23,U23,X23,Y23,AB23,AC23,AF23,AG23)=0,"",E23+I23+M23+Q23+U23+Y23+AC23+AG23)</f>
        <v/>
      </c>
      <c r="AL23" s="15">
        <f>IF(COUNT(D23,E23,H23,I23,L23,M23,P23,Q23,T23,U23,X23,Y23,AB23,AC23,AF23,AG23)=0,"",IF(ISNUMBER(G23),IF(F23="",Ayarlar!$B$4,F23),0)+IF(ISNUMBER(K23),IF(J23="",Ayarlar!$B$5,J23),0)+IF(ISNUMBER(O23),IF(N23="",Ayarlar!$B$6,N23),0)+IF(ISNUMBER(S23),IF(R23="",Ayarlar!$B$7,R23),0)+IF(ISNUMBER(W23),IF(V23="",Ayarlar!$B$8,V23),0)+IF(ISNUMBER(AA23),IF(Z23="",Ayarlar!$B$9,Z23),0)+IF(ISNUMBER(AE23),IF(AD23="",Ayarlar!$B$10,AD23),0)+IF(ISNUMBER(AI23),IF(AH23="",Ayarlar!$B$11,AH23),0))</f>
        <v/>
      </c>
      <c r="AM23" s="15">
        <f>IF(COUNT(D23,E23,H23,I23,L23,M23,P23,Q23,T23,U23,X23,Y23,AB23,AC23,AF23,AG23)=0,"",AL23-AJ23-AK23)</f>
        <v/>
      </c>
      <c r="AN23" s="16">
        <f>IF(COUNT(D23,E23,H23,I23,L23,M23,P23,Q23,T23,U23,X23,Y23,AB23,AC23,AF23,AG23)=0,"",SUM(G23,K23,O23,S23,W23,AA23,AE23,AI23))</f>
        <v/>
      </c>
      <c r="AO23" s="17">
        <f>IF(OR(COUNT(D23,E23,H23,I23,L23,M23,P23,Q23,T23,U23,X23,Y23,AB23,AC23,AF23,AG23)=0,N(AL23)=0),"",AN23/AL23)</f>
        <v/>
      </c>
      <c r="AP23" s="18">
        <f>IF(OR(AO23="",AO22=""),"",AO23-AO22)</f>
        <v/>
      </c>
      <c r="AQ23" s="19">
        <f>IFERROR((IF(Ayarlar!$B$21=Ayarlar!$E$21,N(G23),0)+IF(Ayarlar!$B$22=Ayarlar!$E$21,N(K23),0)+IF(Ayarlar!$B$23=Ayarlar!$E$21,N(O23),0)+IF(Ayarlar!$B$24=Ayarlar!$E$21,N(S23),0)+IF(Ayarlar!$B$25=Ayarlar!$E$21,N(W23),0)+IF(Ayarlar!$B$26=Ayarlar!$E$21,N(AA23),0)+IF(Ayarlar!$B$27=Ayarlar!$E$21,N(AE23),0)+IF(Ayarlar!$B$28=Ayarlar!$E$21,N(AI23),0))/(IF(AND(Ayarlar!$B$21=Ayarlar!$E$21,ISNUMBER(G23)),IF(F23="",Ayarlar!$B$4,F23),0)+IF(AND(Ayarlar!$B$22=Ayarlar!$E$21,ISNUMBER(K23)),IF(J23="",Ayarlar!$B$5,J23),0)+IF(AND(Ayarlar!$B$23=Ayarlar!$E$21,ISNUMBER(O23)),IF(N23="",Ayarlar!$B$6,N23),0)+IF(AND(Ayarlar!$B$24=Ayarlar!$E$21,ISNUMBER(S23)),IF(R23="",Ayarlar!$B$7,R23),0)+IF(AND(Ayarlar!$B$25=Ayarlar!$E$21,ISNUMBER(W23)),IF(V23="",Ayarlar!$B$8,V23),0)+IF(AND(Ayarlar!$B$26=Ayarlar!$E$21,ISNUMBER(AA23)),IF(Z23="",Ayarlar!$B$9,Z23),0)+IF(AND(Ayarlar!$B$27=Ayarlar!$E$21,ISNUMBER(AE23)),IF(AD23="",Ayarlar!$B$10,AD23),0)+IF(AND(Ayarlar!$B$28=Ayarlar!$E$21,ISNUMBER(AI23)),IF(AH23="",Ayarlar!$B$11,AH23),0))*Ayarlar!$F$21,"")</f>
        <v/>
      </c>
      <c r="AR23" s="19">
        <f>IFERROR((IF(Ayarlar!$B$21=Ayarlar!$E$22,N(G23),0)+IF(Ayarlar!$B$22=Ayarlar!$E$22,N(K23),0)+IF(Ayarlar!$B$23=Ayarlar!$E$22,N(O23),0)+IF(Ayarlar!$B$24=Ayarlar!$E$22,N(S23),0)+IF(Ayarlar!$B$25=Ayarlar!$E$22,N(W23),0)+IF(Ayarlar!$B$26=Ayarlar!$E$22,N(AA23),0)+IF(Ayarlar!$B$27=Ayarlar!$E$22,N(AE23),0)+IF(Ayarlar!$B$28=Ayarlar!$E$22,N(AI23),0))/(IF(AND(Ayarlar!$B$21=Ayarlar!$E$22,ISNUMBER(G23)),IF(F23="",Ayarlar!$B$4,F23),0)+IF(AND(Ayarlar!$B$22=Ayarlar!$E$22,ISNUMBER(K23)),IF(J23="",Ayarlar!$B$5,J23),0)+IF(AND(Ayarlar!$B$23=Ayarlar!$E$22,ISNUMBER(O23)),IF(N23="",Ayarlar!$B$6,N23),0)+IF(AND(Ayarlar!$B$24=Ayarlar!$E$22,ISNUMBER(S23)),IF(R23="",Ayarlar!$B$7,R23),0)+IF(AND(Ayarlar!$B$25=Ayarlar!$E$22,ISNUMBER(W23)),IF(V23="",Ayarlar!$B$8,V23),0)+IF(AND(Ayarlar!$B$26=Ayarlar!$E$22,ISNUMBER(AA23)),IF(Z23="",Ayarlar!$B$9,Z23),0)+IF(AND(Ayarlar!$B$27=Ayarlar!$E$22,ISNUMBER(AE23)),IF(AD23="",Ayarlar!$B$10,AD23),0)+IF(AND(Ayarlar!$B$28=Ayarlar!$E$22,ISNUMBER(AI23)),IF(AH23="",Ayarlar!$B$11,AH23),0))*Ayarlar!$F$22,"")</f>
        <v/>
      </c>
      <c r="AS23" s="19">
        <f>IFERROR((IF(Ayarlar!$B$21=Ayarlar!$E$23,N(G23),0)+IF(Ayarlar!$B$22=Ayarlar!$E$23,N(K23),0)+IF(Ayarlar!$B$23=Ayarlar!$E$23,N(O23),0)+IF(Ayarlar!$B$24=Ayarlar!$E$23,N(S23),0)+IF(Ayarlar!$B$25=Ayarlar!$E$23,N(W23),0)+IF(Ayarlar!$B$26=Ayarlar!$E$23,N(AA23),0)+IF(Ayarlar!$B$27=Ayarlar!$E$23,N(AE23),0)+IF(Ayarlar!$B$28=Ayarlar!$E$23,N(AI23),0))/(IF(AND(Ayarlar!$B$21=Ayarlar!$E$23,ISNUMBER(G23)),IF(F23="",Ayarlar!$B$4,F23),0)+IF(AND(Ayarlar!$B$22=Ayarlar!$E$23,ISNUMBER(K23)),IF(J23="",Ayarlar!$B$5,J23),0)+IF(AND(Ayarlar!$B$23=Ayarlar!$E$23,ISNUMBER(O23)),IF(N23="",Ayarlar!$B$6,N23),0)+IF(AND(Ayarlar!$B$24=Ayarlar!$E$23,ISNUMBER(S23)),IF(R23="",Ayarlar!$B$7,R23),0)+IF(AND(Ayarlar!$B$25=Ayarlar!$E$23,ISNUMBER(W23)),IF(V23="",Ayarlar!$B$8,V23),0)+IF(AND(Ayarlar!$B$26=Ayarlar!$E$23,ISNUMBER(AA23)),IF(Z23="",Ayarlar!$B$9,Z23),0)+IF(AND(Ayarlar!$B$27=Ayarlar!$E$23,ISNUMBER(AE23)),IF(AD23="",Ayarlar!$B$10,AD23),0)+IF(AND(Ayarlar!$B$28=Ayarlar!$E$23,ISNUMBER(AI23)),IF(AH23="",Ayarlar!$B$11,AH23),0))*Ayarlar!$F$23,"")</f>
        <v/>
      </c>
      <c r="AT23" s="19">
        <f>IFERROR((IF(Ayarlar!$B$21=Ayarlar!$E$24,N(G23),0)+IF(Ayarlar!$B$22=Ayarlar!$E$24,N(K23),0)+IF(Ayarlar!$B$23=Ayarlar!$E$24,N(O23),0)+IF(Ayarlar!$B$24=Ayarlar!$E$24,N(S23),0)+IF(Ayarlar!$B$25=Ayarlar!$E$24,N(W23),0)+IF(Ayarlar!$B$26=Ayarlar!$E$24,N(AA23),0)+IF(Ayarlar!$B$27=Ayarlar!$E$24,N(AE23),0)+IF(Ayarlar!$B$28=Ayarlar!$E$24,N(AI23),0))/(IF(AND(Ayarlar!$B$21=Ayarlar!$E$24,ISNUMBER(G23)),IF(F23="",Ayarlar!$B$4,F23),0)+IF(AND(Ayarlar!$B$22=Ayarlar!$E$24,ISNUMBER(K23)),IF(J23="",Ayarlar!$B$5,J23),0)+IF(AND(Ayarlar!$B$23=Ayarlar!$E$24,ISNUMBER(O23)),IF(N23="",Ayarlar!$B$6,N23),0)+IF(AND(Ayarlar!$B$24=Ayarlar!$E$24,ISNUMBER(S23)),IF(R23="",Ayarlar!$B$7,R23),0)+IF(AND(Ayarlar!$B$25=Ayarlar!$E$24,ISNUMBER(W23)),IF(V23="",Ayarlar!$B$8,V23),0)+IF(AND(Ayarlar!$B$26=Ayarlar!$E$24,ISNUMBER(AA23)),IF(Z23="",Ayarlar!$B$9,Z23),0)+IF(AND(Ayarlar!$B$27=Ayarlar!$E$24,ISNUMBER(AE23)),IF(AD23="",Ayarlar!$B$10,AD23),0)+IF(AND(Ayarlar!$B$28=Ayarlar!$E$24,ISNUMBER(AI23)),IF(AH23="",Ayarlar!$B$11,AH23),0))*Ayarlar!$F$24,"")</f>
        <v/>
      </c>
      <c r="AU23" s="20">
        <f>IF(COUNT(AQ23,AR23,AS23,AT23)&lt;4,"",Ayarlar!$F$25+AQ23*Ayarlar!$G$21+AR23*Ayarlar!$G$22+AS23*Ayarlar!$G$23+AT23*Ayarlar!$G$24)</f>
        <v/>
      </c>
    </row>
    <row r="24">
      <c r="A24" s="10" t="n">
        <v>20</v>
      </c>
      <c r="B24" s="11" t="n"/>
      <c r="C24" s="4" t="n"/>
      <c r="D24" s="12" t="n"/>
      <c r="E24" s="12" t="n"/>
      <c r="F24" s="13" t="n"/>
      <c r="G24" s="14">
        <f>IF(AND(D24="",E24=""),"",D24-IF(Ayarlar!$B$16&gt;0,E24/Ayarlar!$B$16,0))</f>
        <v/>
      </c>
      <c r="H24" s="12" t="n"/>
      <c r="I24" s="12" t="n"/>
      <c r="J24" s="13" t="n"/>
      <c r="K24" s="14">
        <f>IF(AND(H24="",I24=""),"",H24-IF(Ayarlar!$B$16&gt;0,I24/Ayarlar!$B$16,0))</f>
        <v/>
      </c>
      <c r="L24" s="12" t="n"/>
      <c r="M24" s="12" t="n"/>
      <c r="N24" s="13" t="n"/>
      <c r="O24" s="14">
        <f>IF(AND(L24="",M24=""),"",L24-IF(Ayarlar!$B$16&gt;0,M24/Ayarlar!$B$16,0))</f>
        <v/>
      </c>
      <c r="P24" s="12" t="n"/>
      <c r="Q24" s="12" t="n"/>
      <c r="R24" s="13" t="n"/>
      <c r="S24" s="14">
        <f>IF(AND(P24="",Q24=""),"",P24-IF(Ayarlar!$B$16&gt;0,Q24/Ayarlar!$B$16,0))</f>
        <v/>
      </c>
      <c r="T24" s="12" t="n"/>
      <c r="U24" s="12" t="n"/>
      <c r="V24" s="13" t="n"/>
      <c r="W24" s="14">
        <f>IF(AND(T24="",U24=""),"",T24-IF(Ayarlar!$B$16&gt;0,U24/Ayarlar!$B$16,0))</f>
        <v/>
      </c>
      <c r="X24" s="12" t="n"/>
      <c r="Y24" s="12" t="n"/>
      <c r="Z24" s="13" t="n"/>
      <c r="AA24" s="14">
        <f>IF(AND(X24="",Y24=""),"",X24-IF(Ayarlar!$B$16&gt;0,Y24/Ayarlar!$B$16,0))</f>
        <v/>
      </c>
      <c r="AB24" s="12" t="n"/>
      <c r="AC24" s="12" t="n"/>
      <c r="AD24" s="13" t="n"/>
      <c r="AE24" s="14">
        <f>IF(AND(AB24="",AC24=""),"",AB24-IF(Ayarlar!$B$16&gt;0,AC24/Ayarlar!$B$16,0))</f>
        <v/>
      </c>
      <c r="AF24" s="12" t="n"/>
      <c r="AG24" s="12" t="n"/>
      <c r="AH24" s="13" t="n"/>
      <c r="AI24" s="14">
        <f>IF(AND(AF24="",AG24=""),"",AF24-IF(Ayarlar!$B$16&gt;0,AG24/Ayarlar!$B$16,0))</f>
        <v/>
      </c>
      <c r="AJ24" s="15">
        <f>IF(COUNT(D24,E24,H24,I24,L24,M24,P24,Q24,T24,U24,X24,Y24,AB24,AC24,AF24,AG24)=0,"",D24+H24+L24+P24+T24+X24+AB24+AF24)</f>
        <v/>
      </c>
      <c r="AK24" s="15">
        <f>IF(COUNT(D24,E24,H24,I24,L24,M24,P24,Q24,T24,U24,X24,Y24,AB24,AC24,AF24,AG24)=0,"",E24+I24+M24+Q24+U24+Y24+AC24+AG24)</f>
        <v/>
      </c>
      <c r="AL24" s="15">
        <f>IF(COUNT(D24,E24,H24,I24,L24,M24,P24,Q24,T24,U24,X24,Y24,AB24,AC24,AF24,AG24)=0,"",IF(ISNUMBER(G24),IF(F24="",Ayarlar!$B$4,F24),0)+IF(ISNUMBER(K24),IF(J24="",Ayarlar!$B$5,J24),0)+IF(ISNUMBER(O24),IF(N24="",Ayarlar!$B$6,N24),0)+IF(ISNUMBER(S24),IF(R24="",Ayarlar!$B$7,R24),0)+IF(ISNUMBER(W24),IF(V24="",Ayarlar!$B$8,V24),0)+IF(ISNUMBER(AA24),IF(Z24="",Ayarlar!$B$9,Z24),0)+IF(ISNUMBER(AE24),IF(AD24="",Ayarlar!$B$10,AD24),0)+IF(ISNUMBER(AI24),IF(AH24="",Ayarlar!$B$11,AH24),0))</f>
        <v/>
      </c>
      <c r="AM24" s="15">
        <f>IF(COUNT(D24,E24,H24,I24,L24,M24,P24,Q24,T24,U24,X24,Y24,AB24,AC24,AF24,AG24)=0,"",AL24-AJ24-AK24)</f>
        <v/>
      </c>
      <c r="AN24" s="16">
        <f>IF(COUNT(D24,E24,H24,I24,L24,M24,P24,Q24,T24,U24,X24,Y24,AB24,AC24,AF24,AG24)=0,"",SUM(G24,K24,O24,S24,W24,AA24,AE24,AI24))</f>
        <v/>
      </c>
      <c r="AO24" s="17">
        <f>IF(OR(COUNT(D24,E24,H24,I24,L24,M24,P24,Q24,T24,U24,X24,Y24,AB24,AC24,AF24,AG24)=0,N(AL24)=0),"",AN24/AL24)</f>
        <v/>
      </c>
      <c r="AP24" s="18">
        <f>IF(OR(AO24="",AO23=""),"",AO24-AO23)</f>
        <v/>
      </c>
      <c r="AQ24" s="19">
        <f>IFERROR((IF(Ayarlar!$B$21=Ayarlar!$E$21,N(G24),0)+IF(Ayarlar!$B$22=Ayarlar!$E$21,N(K24),0)+IF(Ayarlar!$B$23=Ayarlar!$E$21,N(O24),0)+IF(Ayarlar!$B$24=Ayarlar!$E$21,N(S24),0)+IF(Ayarlar!$B$25=Ayarlar!$E$21,N(W24),0)+IF(Ayarlar!$B$26=Ayarlar!$E$21,N(AA24),0)+IF(Ayarlar!$B$27=Ayarlar!$E$21,N(AE24),0)+IF(Ayarlar!$B$28=Ayarlar!$E$21,N(AI24),0))/(IF(AND(Ayarlar!$B$21=Ayarlar!$E$21,ISNUMBER(G24)),IF(F24="",Ayarlar!$B$4,F24),0)+IF(AND(Ayarlar!$B$22=Ayarlar!$E$21,ISNUMBER(K24)),IF(J24="",Ayarlar!$B$5,J24),0)+IF(AND(Ayarlar!$B$23=Ayarlar!$E$21,ISNUMBER(O24)),IF(N24="",Ayarlar!$B$6,N24),0)+IF(AND(Ayarlar!$B$24=Ayarlar!$E$21,ISNUMBER(S24)),IF(R24="",Ayarlar!$B$7,R24),0)+IF(AND(Ayarlar!$B$25=Ayarlar!$E$21,ISNUMBER(W24)),IF(V24="",Ayarlar!$B$8,V24),0)+IF(AND(Ayarlar!$B$26=Ayarlar!$E$21,ISNUMBER(AA24)),IF(Z24="",Ayarlar!$B$9,Z24),0)+IF(AND(Ayarlar!$B$27=Ayarlar!$E$21,ISNUMBER(AE24)),IF(AD24="",Ayarlar!$B$10,AD24),0)+IF(AND(Ayarlar!$B$28=Ayarlar!$E$21,ISNUMBER(AI24)),IF(AH24="",Ayarlar!$B$11,AH24),0))*Ayarlar!$F$21,"")</f>
        <v/>
      </c>
      <c r="AR24" s="19">
        <f>IFERROR((IF(Ayarlar!$B$21=Ayarlar!$E$22,N(G24),0)+IF(Ayarlar!$B$22=Ayarlar!$E$22,N(K24),0)+IF(Ayarlar!$B$23=Ayarlar!$E$22,N(O24),0)+IF(Ayarlar!$B$24=Ayarlar!$E$22,N(S24),0)+IF(Ayarlar!$B$25=Ayarlar!$E$22,N(W24),0)+IF(Ayarlar!$B$26=Ayarlar!$E$22,N(AA24),0)+IF(Ayarlar!$B$27=Ayarlar!$E$22,N(AE24),0)+IF(Ayarlar!$B$28=Ayarlar!$E$22,N(AI24),0))/(IF(AND(Ayarlar!$B$21=Ayarlar!$E$22,ISNUMBER(G24)),IF(F24="",Ayarlar!$B$4,F24),0)+IF(AND(Ayarlar!$B$22=Ayarlar!$E$22,ISNUMBER(K24)),IF(J24="",Ayarlar!$B$5,J24),0)+IF(AND(Ayarlar!$B$23=Ayarlar!$E$22,ISNUMBER(O24)),IF(N24="",Ayarlar!$B$6,N24),0)+IF(AND(Ayarlar!$B$24=Ayarlar!$E$22,ISNUMBER(S24)),IF(R24="",Ayarlar!$B$7,R24),0)+IF(AND(Ayarlar!$B$25=Ayarlar!$E$22,ISNUMBER(W24)),IF(V24="",Ayarlar!$B$8,V24),0)+IF(AND(Ayarlar!$B$26=Ayarlar!$E$22,ISNUMBER(AA24)),IF(Z24="",Ayarlar!$B$9,Z24),0)+IF(AND(Ayarlar!$B$27=Ayarlar!$E$22,ISNUMBER(AE24)),IF(AD24="",Ayarlar!$B$10,AD24),0)+IF(AND(Ayarlar!$B$28=Ayarlar!$E$22,ISNUMBER(AI24)),IF(AH24="",Ayarlar!$B$11,AH24),0))*Ayarlar!$F$22,"")</f>
        <v/>
      </c>
      <c r="AS24" s="19">
        <f>IFERROR((IF(Ayarlar!$B$21=Ayarlar!$E$23,N(G24),0)+IF(Ayarlar!$B$22=Ayarlar!$E$23,N(K24),0)+IF(Ayarlar!$B$23=Ayarlar!$E$23,N(O24),0)+IF(Ayarlar!$B$24=Ayarlar!$E$23,N(S24),0)+IF(Ayarlar!$B$25=Ayarlar!$E$23,N(W24),0)+IF(Ayarlar!$B$26=Ayarlar!$E$23,N(AA24),0)+IF(Ayarlar!$B$27=Ayarlar!$E$23,N(AE24),0)+IF(Ayarlar!$B$28=Ayarlar!$E$23,N(AI24),0))/(IF(AND(Ayarlar!$B$21=Ayarlar!$E$23,ISNUMBER(G24)),IF(F24="",Ayarlar!$B$4,F24),0)+IF(AND(Ayarlar!$B$22=Ayarlar!$E$23,ISNUMBER(K24)),IF(J24="",Ayarlar!$B$5,J24),0)+IF(AND(Ayarlar!$B$23=Ayarlar!$E$23,ISNUMBER(O24)),IF(N24="",Ayarlar!$B$6,N24),0)+IF(AND(Ayarlar!$B$24=Ayarlar!$E$23,ISNUMBER(S24)),IF(R24="",Ayarlar!$B$7,R24),0)+IF(AND(Ayarlar!$B$25=Ayarlar!$E$23,ISNUMBER(W24)),IF(V24="",Ayarlar!$B$8,V24),0)+IF(AND(Ayarlar!$B$26=Ayarlar!$E$23,ISNUMBER(AA24)),IF(Z24="",Ayarlar!$B$9,Z24),0)+IF(AND(Ayarlar!$B$27=Ayarlar!$E$23,ISNUMBER(AE24)),IF(AD24="",Ayarlar!$B$10,AD24),0)+IF(AND(Ayarlar!$B$28=Ayarlar!$E$23,ISNUMBER(AI24)),IF(AH24="",Ayarlar!$B$11,AH24),0))*Ayarlar!$F$23,"")</f>
        <v/>
      </c>
      <c r="AT24" s="19">
        <f>IFERROR((IF(Ayarlar!$B$21=Ayarlar!$E$24,N(G24),0)+IF(Ayarlar!$B$22=Ayarlar!$E$24,N(K24),0)+IF(Ayarlar!$B$23=Ayarlar!$E$24,N(O24),0)+IF(Ayarlar!$B$24=Ayarlar!$E$24,N(S24),0)+IF(Ayarlar!$B$25=Ayarlar!$E$24,N(W24),0)+IF(Ayarlar!$B$26=Ayarlar!$E$24,N(AA24),0)+IF(Ayarlar!$B$27=Ayarlar!$E$24,N(AE24),0)+IF(Ayarlar!$B$28=Ayarlar!$E$24,N(AI24),0))/(IF(AND(Ayarlar!$B$21=Ayarlar!$E$24,ISNUMBER(G24)),IF(F24="",Ayarlar!$B$4,F24),0)+IF(AND(Ayarlar!$B$22=Ayarlar!$E$24,ISNUMBER(K24)),IF(J24="",Ayarlar!$B$5,J24),0)+IF(AND(Ayarlar!$B$23=Ayarlar!$E$24,ISNUMBER(O24)),IF(N24="",Ayarlar!$B$6,N24),0)+IF(AND(Ayarlar!$B$24=Ayarlar!$E$24,ISNUMBER(S24)),IF(R24="",Ayarlar!$B$7,R24),0)+IF(AND(Ayarlar!$B$25=Ayarlar!$E$24,ISNUMBER(W24)),IF(V24="",Ayarlar!$B$8,V24),0)+IF(AND(Ayarlar!$B$26=Ayarlar!$E$24,ISNUMBER(AA24)),IF(Z24="",Ayarlar!$B$9,Z24),0)+IF(AND(Ayarlar!$B$27=Ayarlar!$E$24,ISNUMBER(AE24)),IF(AD24="",Ayarlar!$B$10,AD24),0)+IF(AND(Ayarlar!$B$28=Ayarlar!$E$24,ISNUMBER(AI24)),IF(AH24="",Ayarlar!$B$11,AH24),0))*Ayarlar!$F$24,"")</f>
        <v/>
      </c>
      <c r="AU24" s="20">
        <f>IF(COUNT(AQ24,AR24,AS24,AT24)&lt;4,"",Ayarlar!$F$25+AQ24*Ayarlar!$G$21+AR24*Ayarlar!$G$22+AS24*Ayarlar!$G$23+AT24*Ayarlar!$G$24)</f>
        <v/>
      </c>
    </row>
    <row r="25">
      <c r="A25" s="10" t="n">
        <v>21</v>
      </c>
      <c r="B25" s="11" t="n"/>
      <c r="C25" s="4" t="n"/>
      <c r="D25" s="12" t="n"/>
      <c r="E25" s="12" t="n"/>
      <c r="F25" s="13" t="n"/>
      <c r="G25" s="14">
        <f>IF(AND(D25="",E25=""),"",D25-IF(Ayarlar!$B$16&gt;0,E25/Ayarlar!$B$16,0))</f>
        <v/>
      </c>
      <c r="H25" s="12" t="n"/>
      <c r="I25" s="12" t="n"/>
      <c r="J25" s="13" t="n"/>
      <c r="K25" s="14">
        <f>IF(AND(H25="",I25=""),"",H25-IF(Ayarlar!$B$16&gt;0,I25/Ayarlar!$B$16,0))</f>
        <v/>
      </c>
      <c r="L25" s="12" t="n"/>
      <c r="M25" s="12" t="n"/>
      <c r="N25" s="13" t="n"/>
      <c r="O25" s="14">
        <f>IF(AND(L25="",M25=""),"",L25-IF(Ayarlar!$B$16&gt;0,M25/Ayarlar!$B$16,0))</f>
        <v/>
      </c>
      <c r="P25" s="12" t="n"/>
      <c r="Q25" s="12" t="n"/>
      <c r="R25" s="13" t="n"/>
      <c r="S25" s="14">
        <f>IF(AND(P25="",Q25=""),"",P25-IF(Ayarlar!$B$16&gt;0,Q25/Ayarlar!$B$16,0))</f>
        <v/>
      </c>
      <c r="T25" s="12" t="n"/>
      <c r="U25" s="12" t="n"/>
      <c r="V25" s="13" t="n"/>
      <c r="W25" s="14">
        <f>IF(AND(T25="",U25=""),"",T25-IF(Ayarlar!$B$16&gt;0,U25/Ayarlar!$B$16,0))</f>
        <v/>
      </c>
      <c r="X25" s="12" t="n"/>
      <c r="Y25" s="12" t="n"/>
      <c r="Z25" s="13" t="n"/>
      <c r="AA25" s="14">
        <f>IF(AND(X25="",Y25=""),"",X25-IF(Ayarlar!$B$16&gt;0,Y25/Ayarlar!$B$16,0))</f>
        <v/>
      </c>
      <c r="AB25" s="12" t="n"/>
      <c r="AC25" s="12" t="n"/>
      <c r="AD25" s="13" t="n"/>
      <c r="AE25" s="14">
        <f>IF(AND(AB25="",AC25=""),"",AB25-IF(Ayarlar!$B$16&gt;0,AC25/Ayarlar!$B$16,0))</f>
        <v/>
      </c>
      <c r="AF25" s="12" t="n"/>
      <c r="AG25" s="12" t="n"/>
      <c r="AH25" s="13" t="n"/>
      <c r="AI25" s="14">
        <f>IF(AND(AF25="",AG25=""),"",AF25-IF(Ayarlar!$B$16&gt;0,AG25/Ayarlar!$B$16,0))</f>
        <v/>
      </c>
      <c r="AJ25" s="15">
        <f>IF(COUNT(D25,E25,H25,I25,L25,M25,P25,Q25,T25,U25,X25,Y25,AB25,AC25,AF25,AG25)=0,"",D25+H25+L25+P25+T25+X25+AB25+AF25)</f>
        <v/>
      </c>
      <c r="AK25" s="15">
        <f>IF(COUNT(D25,E25,H25,I25,L25,M25,P25,Q25,T25,U25,X25,Y25,AB25,AC25,AF25,AG25)=0,"",E25+I25+M25+Q25+U25+Y25+AC25+AG25)</f>
        <v/>
      </c>
      <c r="AL25" s="15">
        <f>IF(COUNT(D25,E25,H25,I25,L25,M25,P25,Q25,T25,U25,X25,Y25,AB25,AC25,AF25,AG25)=0,"",IF(ISNUMBER(G25),IF(F25="",Ayarlar!$B$4,F25),0)+IF(ISNUMBER(K25),IF(J25="",Ayarlar!$B$5,J25),0)+IF(ISNUMBER(O25),IF(N25="",Ayarlar!$B$6,N25),0)+IF(ISNUMBER(S25),IF(R25="",Ayarlar!$B$7,R25),0)+IF(ISNUMBER(W25),IF(V25="",Ayarlar!$B$8,V25),0)+IF(ISNUMBER(AA25),IF(Z25="",Ayarlar!$B$9,Z25),0)+IF(ISNUMBER(AE25),IF(AD25="",Ayarlar!$B$10,AD25),0)+IF(ISNUMBER(AI25),IF(AH25="",Ayarlar!$B$11,AH25),0))</f>
        <v/>
      </c>
      <c r="AM25" s="15">
        <f>IF(COUNT(D25,E25,H25,I25,L25,M25,P25,Q25,T25,U25,X25,Y25,AB25,AC25,AF25,AG25)=0,"",AL25-AJ25-AK25)</f>
        <v/>
      </c>
      <c r="AN25" s="16">
        <f>IF(COUNT(D25,E25,H25,I25,L25,M25,P25,Q25,T25,U25,X25,Y25,AB25,AC25,AF25,AG25)=0,"",SUM(G25,K25,O25,S25,W25,AA25,AE25,AI25))</f>
        <v/>
      </c>
      <c r="AO25" s="17">
        <f>IF(OR(COUNT(D25,E25,H25,I25,L25,M25,P25,Q25,T25,U25,X25,Y25,AB25,AC25,AF25,AG25)=0,N(AL25)=0),"",AN25/AL25)</f>
        <v/>
      </c>
      <c r="AP25" s="18">
        <f>IF(OR(AO25="",AO24=""),"",AO25-AO24)</f>
        <v/>
      </c>
      <c r="AQ25" s="19">
        <f>IFERROR((IF(Ayarlar!$B$21=Ayarlar!$E$21,N(G25),0)+IF(Ayarlar!$B$22=Ayarlar!$E$21,N(K25),0)+IF(Ayarlar!$B$23=Ayarlar!$E$21,N(O25),0)+IF(Ayarlar!$B$24=Ayarlar!$E$21,N(S25),0)+IF(Ayarlar!$B$25=Ayarlar!$E$21,N(W25),0)+IF(Ayarlar!$B$26=Ayarlar!$E$21,N(AA25),0)+IF(Ayarlar!$B$27=Ayarlar!$E$21,N(AE25),0)+IF(Ayarlar!$B$28=Ayarlar!$E$21,N(AI25),0))/(IF(AND(Ayarlar!$B$21=Ayarlar!$E$21,ISNUMBER(G25)),IF(F25="",Ayarlar!$B$4,F25),0)+IF(AND(Ayarlar!$B$22=Ayarlar!$E$21,ISNUMBER(K25)),IF(J25="",Ayarlar!$B$5,J25),0)+IF(AND(Ayarlar!$B$23=Ayarlar!$E$21,ISNUMBER(O25)),IF(N25="",Ayarlar!$B$6,N25),0)+IF(AND(Ayarlar!$B$24=Ayarlar!$E$21,ISNUMBER(S25)),IF(R25="",Ayarlar!$B$7,R25),0)+IF(AND(Ayarlar!$B$25=Ayarlar!$E$21,ISNUMBER(W25)),IF(V25="",Ayarlar!$B$8,V25),0)+IF(AND(Ayarlar!$B$26=Ayarlar!$E$21,ISNUMBER(AA25)),IF(Z25="",Ayarlar!$B$9,Z25),0)+IF(AND(Ayarlar!$B$27=Ayarlar!$E$21,ISNUMBER(AE25)),IF(AD25="",Ayarlar!$B$10,AD25),0)+IF(AND(Ayarlar!$B$28=Ayarlar!$E$21,ISNUMBER(AI25)),IF(AH25="",Ayarlar!$B$11,AH25),0))*Ayarlar!$F$21,"")</f>
        <v/>
      </c>
      <c r="AR25" s="19">
        <f>IFERROR((IF(Ayarlar!$B$21=Ayarlar!$E$22,N(G25),0)+IF(Ayarlar!$B$22=Ayarlar!$E$22,N(K25),0)+IF(Ayarlar!$B$23=Ayarlar!$E$22,N(O25),0)+IF(Ayarlar!$B$24=Ayarlar!$E$22,N(S25),0)+IF(Ayarlar!$B$25=Ayarlar!$E$22,N(W25),0)+IF(Ayarlar!$B$26=Ayarlar!$E$22,N(AA25),0)+IF(Ayarlar!$B$27=Ayarlar!$E$22,N(AE25),0)+IF(Ayarlar!$B$28=Ayarlar!$E$22,N(AI25),0))/(IF(AND(Ayarlar!$B$21=Ayarlar!$E$22,ISNUMBER(G25)),IF(F25="",Ayarlar!$B$4,F25),0)+IF(AND(Ayarlar!$B$22=Ayarlar!$E$22,ISNUMBER(K25)),IF(J25="",Ayarlar!$B$5,J25),0)+IF(AND(Ayarlar!$B$23=Ayarlar!$E$22,ISNUMBER(O25)),IF(N25="",Ayarlar!$B$6,N25),0)+IF(AND(Ayarlar!$B$24=Ayarlar!$E$22,ISNUMBER(S25)),IF(R25="",Ayarlar!$B$7,R25),0)+IF(AND(Ayarlar!$B$25=Ayarlar!$E$22,ISNUMBER(W25)),IF(V25="",Ayarlar!$B$8,V25),0)+IF(AND(Ayarlar!$B$26=Ayarlar!$E$22,ISNUMBER(AA25)),IF(Z25="",Ayarlar!$B$9,Z25),0)+IF(AND(Ayarlar!$B$27=Ayarlar!$E$22,ISNUMBER(AE25)),IF(AD25="",Ayarlar!$B$10,AD25),0)+IF(AND(Ayarlar!$B$28=Ayarlar!$E$22,ISNUMBER(AI25)),IF(AH25="",Ayarlar!$B$11,AH25),0))*Ayarlar!$F$22,"")</f>
        <v/>
      </c>
      <c r="AS25" s="19">
        <f>IFERROR((IF(Ayarlar!$B$21=Ayarlar!$E$23,N(G25),0)+IF(Ayarlar!$B$22=Ayarlar!$E$23,N(K25),0)+IF(Ayarlar!$B$23=Ayarlar!$E$23,N(O25),0)+IF(Ayarlar!$B$24=Ayarlar!$E$23,N(S25),0)+IF(Ayarlar!$B$25=Ayarlar!$E$23,N(W25),0)+IF(Ayarlar!$B$26=Ayarlar!$E$23,N(AA25),0)+IF(Ayarlar!$B$27=Ayarlar!$E$23,N(AE25),0)+IF(Ayarlar!$B$28=Ayarlar!$E$23,N(AI25),0))/(IF(AND(Ayarlar!$B$21=Ayarlar!$E$23,ISNUMBER(G25)),IF(F25="",Ayarlar!$B$4,F25),0)+IF(AND(Ayarlar!$B$22=Ayarlar!$E$23,ISNUMBER(K25)),IF(J25="",Ayarlar!$B$5,J25),0)+IF(AND(Ayarlar!$B$23=Ayarlar!$E$23,ISNUMBER(O25)),IF(N25="",Ayarlar!$B$6,N25),0)+IF(AND(Ayarlar!$B$24=Ayarlar!$E$23,ISNUMBER(S25)),IF(R25="",Ayarlar!$B$7,R25),0)+IF(AND(Ayarlar!$B$25=Ayarlar!$E$23,ISNUMBER(W25)),IF(V25="",Ayarlar!$B$8,V25),0)+IF(AND(Ayarlar!$B$26=Ayarlar!$E$23,ISNUMBER(AA25)),IF(Z25="",Ayarlar!$B$9,Z25),0)+IF(AND(Ayarlar!$B$27=Ayarlar!$E$23,ISNUMBER(AE25)),IF(AD25="",Ayarlar!$B$10,AD25),0)+IF(AND(Ayarlar!$B$28=Ayarlar!$E$23,ISNUMBER(AI25)),IF(AH25="",Ayarlar!$B$11,AH25),0))*Ayarlar!$F$23,"")</f>
        <v/>
      </c>
      <c r="AT25" s="19">
        <f>IFERROR((IF(Ayarlar!$B$21=Ayarlar!$E$24,N(G25),0)+IF(Ayarlar!$B$22=Ayarlar!$E$24,N(K25),0)+IF(Ayarlar!$B$23=Ayarlar!$E$24,N(O25),0)+IF(Ayarlar!$B$24=Ayarlar!$E$24,N(S25),0)+IF(Ayarlar!$B$25=Ayarlar!$E$24,N(W25),0)+IF(Ayarlar!$B$26=Ayarlar!$E$24,N(AA25),0)+IF(Ayarlar!$B$27=Ayarlar!$E$24,N(AE25),0)+IF(Ayarlar!$B$28=Ayarlar!$E$24,N(AI25),0))/(IF(AND(Ayarlar!$B$21=Ayarlar!$E$24,ISNUMBER(G25)),IF(F25="",Ayarlar!$B$4,F25),0)+IF(AND(Ayarlar!$B$22=Ayarlar!$E$24,ISNUMBER(K25)),IF(J25="",Ayarlar!$B$5,J25),0)+IF(AND(Ayarlar!$B$23=Ayarlar!$E$24,ISNUMBER(O25)),IF(N25="",Ayarlar!$B$6,N25),0)+IF(AND(Ayarlar!$B$24=Ayarlar!$E$24,ISNUMBER(S25)),IF(R25="",Ayarlar!$B$7,R25),0)+IF(AND(Ayarlar!$B$25=Ayarlar!$E$24,ISNUMBER(W25)),IF(V25="",Ayarlar!$B$8,V25),0)+IF(AND(Ayarlar!$B$26=Ayarlar!$E$24,ISNUMBER(AA25)),IF(Z25="",Ayarlar!$B$9,Z25),0)+IF(AND(Ayarlar!$B$27=Ayarlar!$E$24,ISNUMBER(AE25)),IF(AD25="",Ayarlar!$B$10,AD25),0)+IF(AND(Ayarlar!$B$28=Ayarlar!$E$24,ISNUMBER(AI25)),IF(AH25="",Ayarlar!$B$11,AH25),0))*Ayarlar!$F$24,"")</f>
        <v/>
      </c>
      <c r="AU25" s="20">
        <f>IF(COUNT(AQ25,AR25,AS25,AT25)&lt;4,"",Ayarlar!$F$25+AQ25*Ayarlar!$G$21+AR25*Ayarlar!$G$22+AS25*Ayarlar!$G$23+AT25*Ayarlar!$G$24)</f>
        <v/>
      </c>
    </row>
    <row r="26">
      <c r="A26" s="10" t="n">
        <v>22</v>
      </c>
      <c r="B26" s="11" t="n"/>
      <c r="C26" s="4" t="n"/>
      <c r="D26" s="12" t="n"/>
      <c r="E26" s="12" t="n"/>
      <c r="F26" s="13" t="n"/>
      <c r="G26" s="14">
        <f>IF(AND(D26="",E26=""),"",D26-IF(Ayarlar!$B$16&gt;0,E26/Ayarlar!$B$16,0))</f>
        <v/>
      </c>
      <c r="H26" s="12" t="n"/>
      <c r="I26" s="12" t="n"/>
      <c r="J26" s="13" t="n"/>
      <c r="K26" s="14">
        <f>IF(AND(H26="",I26=""),"",H26-IF(Ayarlar!$B$16&gt;0,I26/Ayarlar!$B$16,0))</f>
        <v/>
      </c>
      <c r="L26" s="12" t="n"/>
      <c r="M26" s="12" t="n"/>
      <c r="N26" s="13" t="n"/>
      <c r="O26" s="14">
        <f>IF(AND(L26="",M26=""),"",L26-IF(Ayarlar!$B$16&gt;0,M26/Ayarlar!$B$16,0))</f>
        <v/>
      </c>
      <c r="P26" s="12" t="n"/>
      <c r="Q26" s="12" t="n"/>
      <c r="R26" s="13" t="n"/>
      <c r="S26" s="14">
        <f>IF(AND(P26="",Q26=""),"",P26-IF(Ayarlar!$B$16&gt;0,Q26/Ayarlar!$B$16,0))</f>
        <v/>
      </c>
      <c r="T26" s="12" t="n"/>
      <c r="U26" s="12" t="n"/>
      <c r="V26" s="13" t="n"/>
      <c r="W26" s="14">
        <f>IF(AND(T26="",U26=""),"",T26-IF(Ayarlar!$B$16&gt;0,U26/Ayarlar!$B$16,0))</f>
        <v/>
      </c>
      <c r="X26" s="12" t="n"/>
      <c r="Y26" s="12" t="n"/>
      <c r="Z26" s="13" t="n"/>
      <c r="AA26" s="14">
        <f>IF(AND(X26="",Y26=""),"",X26-IF(Ayarlar!$B$16&gt;0,Y26/Ayarlar!$B$16,0))</f>
        <v/>
      </c>
      <c r="AB26" s="12" t="n"/>
      <c r="AC26" s="12" t="n"/>
      <c r="AD26" s="13" t="n"/>
      <c r="AE26" s="14">
        <f>IF(AND(AB26="",AC26=""),"",AB26-IF(Ayarlar!$B$16&gt;0,AC26/Ayarlar!$B$16,0))</f>
        <v/>
      </c>
      <c r="AF26" s="12" t="n"/>
      <c r="AG26" s="12" t="n"/>
      <c r="AH26" s="13" t="n"/>
      <c r="AI26" s="14">
        <f>IF(AND(AF26="",AG26=""),"",AF26-IF(Ayarlar!$B$16&gt;0,AG26/Ayarlar!$B$16,0))</f>
        <v/>
      </c>
      <c r="AJ26" s="15">
        <f>IF(COUNT(D26,E26,H26,I26,L26,M26,P26,Q26,T26,U26,X26,Y26,AB26,AC26,AF26,AG26)=0,"",D26+H26+L26+P26+T26+X26+AB26+AF26)</f>
        <v/>
      </c>
      <c r="AK26" s="15">
        <f>IF(COUNT(D26,E26,H26,I26,L26,M26,P26,Q26,T26,U26,X26,Y26,AB26,AC26,AF26,AG26)=0,"",E26+I26+M26+Q26+U26+Y26+AC26+AG26)</f>
        <v/>
      </c>
      <c r="AL26" s="15">
        <f>IF(COUNT(D26,E26,H26,I26,L26,M26,P26,Q26,T26,U26,X26,Y26,AB26,AC26,AF26,AG26)=0,"",IF(ISNUMBER(G26),IF(F26="",Ayarlar!$B$4,F26),0)+IF(ISNUMBER(K26),IF(J26="",Ayarlar!$B$5,J26),0)+IF(ISNUMBER(O26),IF(N26="",Ayarlar!$B$6,N26),0)+IF(ISNUMBER(S26),IF(R26="",Ayarlar!$B$7,R26),0)+IF(ISNUMBER(W26),IF(V26="",Ayarlar!$B$8,V26),0)+IF(ISNUMBER(AA26),IF(Z26="",Ayarlar!$B$9,Z26),0)+IF(ISNUMBER(AE26),IF(AD26="",Ayarlar!$B$10,AD26),0)+IF(ISNUMBER(AI26),IF(AH26="",Ayarlar!$B$11,AH26),0))</f>
        <v/>
      </c>
      <c r="AM26" s="15">
        <f>IF(COUNT(D26,E26,H26,I26,L26,M26,P26,Q26,T26,U26,X26,Y26,AB26,AC26,AF26,AG26)=0,"",AL26-AJ26-AK26)</f>
        <v/>
      </c>
      <c r="AN26" s="16">
        <f>IF(COUNT(D26,E26,H26,I26,L26,M26,P26,Q26,T26,U26,X26,Y26,AB26,AC26,AF26,AG26)=0,"",SUM(G26,K26,O26,S26,W26,AA26,AE26,AI26))</f>
        <v/>
      </c>
      <c r="AO26" s="17">
        <f>IF(OR(COUNT(D26,E26,H26,I26,L26,M26,P26,Q26,T26,U26,X26,Y26,AB26,AC26,AF26,AG26)=0,N(AL26)=0),"",AN26/AL26)</f>
        <v/>
      </c>
      <c r="AP26" s="18">
        <f>IF(OR(AO26="",AO25=""),"",AO26-AO25)</f>
        <v/>
      </c>
      <c r="AQ26" s="19">
        <f>IFERROR((IF(Ayarlar!$B$21=Ayarlar!$E$21,N(G26),0)+IF(Ayarlar!$B$22=Ayarlar!$E$21,N(K26),0)+IF(Ayarlar!$B$23=Ayarlar!$E$21,N(O26),0)+IF(Ayarlar!$B$24=Ayarlar!$E$21,N(S26),0)+IF(Ayarlar!$B$25=Ayarlar!$E$21,N(W26),0)+IF(Ayarlar!$B$26=Ayarlar!$E$21,N(AA26),0)+IF(Ayarlar!$B$27=Ayarlar!$E$21,N(AE26),0)+IF(Ayarlar!$B$28=Ayarlar!$E$21,N(AI26),0))/(IF(AND(Ayarlar!$B$21=Ayarlar!$E$21,ISNUMBER(G26)),IF(F26="",Ayarlar!$B$4,F26),0)+IF(AND(Ayarlar!$B$22=Ayarlar!$E$21,ISNUMBER(K26)),IF(J26="",Ayarlar!$B$5,J26),0)+IF(AND(Ayarlar!$B$23=Ayarlar!$E$21,ISNUMBER(O26)),IF(N26="",Ayarlar!$B$6,N26),0)+IF(AND(Ayarlar!$B$24=Ayarlar!$E$21,ISNUMBER(S26)),IF(R26="",Ayarlar!$B$7,R26),0)+IF(AND(Ayarlar!$B$25=Ayarlar!$E$21,ISNUMBER(W26)),IF(V26="",Ayarlar!$B$8,V26),0)+IF(AND(Ayarlar!$B$26=Ayarlar!$E$21,ISNUMBER(AA26)),IF(Z26="",Ayarlar!$B$9,Z26),0)+IF(AND(Ayarlar!$B$27=Ayarlar!$E$21,ISNUMBER(AE26)),IF(AD26="",Ayarlar!$B$10,AD26),0)+IF(AND(Ayarlar!$B$28=Ayarlar!$E$21,ISNUMBER(AI26)),IF(AH26="",Ayarlar!$B$11,AH26),0))*Ayarlar!$F$21,"")</f>
        <v/>
      </c>
      <c r="AR26" s="19">
        <f>IFERROR((IF(Ayarlar!$B$21=Ayarlar!$E$22,N(G26),0)+IF(Ayarlar!$B$22=Ayarlar!$E$22,N(K26),0)+IF(Ayarlar!$B$23=Ayarlar!$E$22,N(O26),0)+IF(Ayarlar!$B$24=Ayarlar!$E$22,N(S26),0)+IF(Ayarlar!$B$25=Ayarlar!$E$22,N(W26),0)+IF(Ayarlar!$B$26=Ayarlar!$E$22,N(AA26),0)+IF(Ayarlar!$B$27=Ayarlar!$E$22,N(AE26),0)+IF(Ayarlar!$B$28=Ayarlar!$E$22,N(AI26),0))/(IF(AND(Ayarlar!$B$21=Ayarlar!$E$22,ISNUMBER(G26)),IF(F26="",Ayarlar!$B$4,F26),0)+IF(AND(Ayarlar!$B$22=Ayarlar!$E$22,ISNUMBER(K26)),IF(J26="",Ayarlar!$B$5,J26),0)+IF(AND(Ayarlar!$B$23=Ayarlar!$E$22,ISNUMBER(O26)),IF(N26="",Ayarlar!$B$6,N26),0)+IF(AND(Ayarlar!$B$24=Ayarlar!$E$22,ISNUMBER(S26)),IF(R26="",Ayarlar!$B$7,R26),0)+IF(AND(Ayarlar!$B$25=Ayarlar!$E$22,ISNUMBER(W26)),IF(V26="",Ayarlar!$B$8,V26),0)+IF(AND(Ayarlar!$B$26=Ayarlar!$E$22,ISNUMBER(AA26)),IF(Z26="",Ayarlar!$B$9,Z26),0)+IF(AND(Ayarlar!$B$27=Ayarlar!$E$22,ISNUMBER(AE26)),IF(AD26="",Ayarlar!$B$10,AD26),0)+IF(AND(Ayarlar!$B$28=Ayarlar!$E$22,ISNUMBER(AI26)),IF(AH26="",Ayarlar!$B$11,AH26),0))*Ayarlar!$F$22,"")</f>
        <v/>
      </c>
      <c r="AS26" s="19">
        <f>IFERROR((IF(Ayarlar!$B$21=Ayarlar!$E$23,N(G26),0)+IF(Ayarlar!$B$22=Ayarlar!$E$23,N(K26),0)+IF(Ayarlar!$B$23=Ayarlar!$E$23,N(O26),0)+IF(Ayarlar!$B$24=Ayarlar!$E$23,N(S26),0)+IF(Ayarlar!$B$25=Ayarlar!$E$23,N(W26),0)+IF(Ayarlar!$B$26=Ayarlar!$E$23,N(AA26),0)+IF(Ayarlar!$B$27=Ayarlar!$E$23,N(AE26),0)+IF(Ayarlar!$B$28=Ayarlar!$E$23,N(AI26),0))/(IF(AND(Ayarlar!$B$21=Ayarlar!$E$23,ISNUMBER(G26)),IF(F26="",Ayarlar!$B$4,F26),0)+IF(AND(Ayarlar!$B$22=Ayarlar!$E$23,ISNUMBER(K26)),IF(J26="",Ayarlar!$B$5,J26),0)+IF(AND(Ayarlar!$B$23=Ayarlar!$E$23,ISNUMBER(O26)),IF(N26="",Ayarlar!$B$6,N26),0)+IF(AND(Ayarlar!$B$24=Ayarlar!$E$23,ISNUMBER(S26)),IF(R26="",Ayarlar!$B$7,R26),0)+IF(AND(Ayarlar!$B$25=Ayarlar!$E$23,ISNUMBER(W26)),IF(V26="",Ayarlar!$B$8,V26),0)+IF(AND(Ayarlar!$B$26=Ayarlar!$E$23,ISNUMBER(AA26)),IF(Z26="",Ayarlar!$B$9,Z26),0)+IF(AND(Ayarlar!$B$27=Ayarlar!$E$23,ISNUMBER(AE26)),IF(AD26="",Ayarlar!$B$10,AD26),0)+IF(AND(Ayarlar!$B$28=Ayarlar!$E$23,ISNUMBER(AI26)),IF(AH26="",Ayarlar!$B$11,AH26),0))*Ayarlar!$F$23,"")</f>
        <v/>
      </c>
      <c r="AT26" s="19">
        <f>IFERROR((IF(Ayarlar!$B$21=Ayarlar!$E$24,N(G26),0)+IF(Ayarlar!$B$22=Ayarlar!$E$24,N(K26),0)+IF(Ayarlar!$B$23=Ayarlar!$E$24,N(O26),0)+IF(Ayarlar!$B$24=Ayarlar!$E$24,N(S26),0)+IF(Ayarlar!$B$25=Ayarlar!$E$24,N(W26),0)+IF(Ayarlar!$B$26=Ayarlar!$E$24,N(AA26),0)+IF(Ayarlar!$B$27=Ayarlar!$E$24,N(AE26),0)+IF(Ayarlar!$B$28=Ayarlar!$E$24,N(AI26),0))/(IF(AND(Ayarlar!$B$21=Ayarlar!$E$24,ISNUMBER(G26)),IF(F26="",Ayarlar!$B$4,F26),0)+IF(AND(Ayarlar!$B$22=Ayarlar!$E$24,ISNUMBER(K26)),IF(J26="",Ayarlar!$B$5,J26),0)+IF(AND(Ayarlar!$B$23=Ayarlar!$E$24,ISNUMBER(O26)),IF(N26="",Ayarlar!$B$6,N26),0)+IF(AND(Ayarlar!$B$24=Ayarlar!$E$24,ISNUMBER(S26)),IF(R26="",Ayarlar!$B$7,R26),0)+IF(AND(Ayarlar!$B$25=Ayarlar!$E$24,ISNUMBER(W26)),IF(V26="",Ayarlar!$B$8,V26),0)+IF(AND(Ayarlar!$B$26=Ayarlar!$E$24,ISNUMBER(AA26)),IF(Z26="",Ayarlar!$B$9,Z26),0)+IF(AND(Ayarlar!$B$27=Ayarlar!$E$24,ISNUMBER(AE26)),IF(AD26="",Ayarlar!$B$10,AD26),0)+IF(AND(Ayarlar!$B$28=Ayarlar!$E$24,ISNUMBER(AI26)),IF(AH26="",Ayarlar!$B$11,AH26),0))*Ayarlar!$F$24,"")</f>
        <v/>
      </c>
      <c r="AU26" s="20">
        <f>IF(COUNT(AQ26,AR26,AS26,AT26)&lt;4,"",Ayarlar!$F$25+AQ26*Ayarlar!$G$21+AR26*Ayarlar!$G$22+AS26*Ayarlar!$G$23+AT26*Ayarlar!$G$24)</f>
        <v/>
      </c>
    </row>
    <row r="27">
      <c r="A27" s="10" t="n">
        <v>23</v>
      </c>
      <c r="B27" s="11" t="n"/>
      <c r="C27" s="4" t="n"/>
      <c r="D27" s="12" t="n"/>
      <c r="E27" s="12" t="n"/>
      <c r="F27" s="13" t="n"/>
      <c r="G27" s="14">
        <f>IF(AND(D27="",E27=""),"",D27-IF(Ayarlar!$B$16&gt;0,E27/Ayarlar!$B$16,0))</f>
        <v/>
      </c>
      <c r="H27" s="12" t="n"/>
      <c r="I27" s="12" t="n"/>
      <c r="J27" s="13" t="n"/>
      <c r="K27" s="14">
        <f>IF(AND(H27="",I27=""),"",H27-IF(Ayarlar!$B$16&gt;0,I27/Ayarlar!$B$16,0))</f>
        <v/>
      </c>
      <c r="L27" s="12" t="n"/>
      <c r="M27" s="12" t="n"/>
      <c r="N27" s="13" t="n"/>
      <c r="O27" s="14">
        <f>IF(AND(L27="",M27=""),"",L27-IF(Ayarlar!$B$16&gt;0,M27/Ayarlar!$B$16,0))</f>
        <v/>
      </c>
      <c r="P27" s="12" t="n"/>
      <c r="Q27" s="12" t="n"/>
      <c r="R27" s="13" t="n"/>
      <c r="S27" s="14">
        <f>IF(AND(P27="",Q27=""),"",P27-IF(Ayarlar!$B$16&gt;0,Q27/Ayarlar!$B$16,0))</f>
        <v/>
      </c>
      <c r="T27" s="12" t="n"/>
      <c r="U27" s="12" t="n"/>
      <c r="V27" s="13" t="n"/>
      <c r="W27" s="14">
        <f>IF(AND(T27="",U27=""),"",T27-IF(Ayarlar!$B$16&gt;0,U27/Ayarlar!$B$16,0))</f>
        <v/>
      </c>
      <c r="X27" s="12" t="n"/>
      <c r="Y27" s="12" t="n"/>
      <c r="Z27" s="13" t="n"/>
      <c r="AA27" s="14">
        <f>IF(AND(X27="",Y27=""),"",X27-IF(Ayarlar!$B$16&gt;0,Y27/Ayarlar!$B$16,0))</f>
        <v/>
      </c>
      <c r="AB27" s="12" t="n"/>
      <c r="AC27" s="12" t="n"/>
      <c r="AD27" s="13" t="n"/>
      <c r="AE27" s="14">
        <f>IF(AND(AB27="",AC27=""),"",AB27-IF(Ayarlar!$B$16&gt;0,AC27/Ayarlar!$B$16,0))</f>
        <v/>
      </c>
      <c r="AF27" s="12" t="n"/>
      <c r="AG27" s="12" t="n"/>
      <c r="AH27" s="13" t="n"/>
      <c r="AI27" s="14">
        <f>IF(AND(AF27="",AG27=""),"",AF27-IF(Ayarlar!$B$16&gt;0,AG27/Ayarlar!$B$16,0))</f>
        <v/>
      </c>
      <c r="AJ27" s="15">
        <f>IF(COUNT(D27,E27,H27,I27,L27,M27,P27,Q27,T27,U27,X27,Y27,AB27,AC27,AF27,AG27)=0,"",D27+H27+L27+P27+T27+X27+AB27+AF27)</f>
        <v/>
      </c>
      <c r="AK27" s="15">
        <f>IF(COUNT(D27,E27,H27,I27,L27,M27,P27,Q27,T27,U27,X27,Y27,AB27,AC27,AF27,AG27)=0,"",E27+I27+M27+Q27+U27+Y27+AC27+AG27)</f>
        <v/>
      </c>
      <c r="AL27" s="15">
        <f>IF(COUNT(D27,E27,H27,I27,L27,M27,P27,Q27,T27,U27,X27,Y27,AB27,AC27,AF27,AG27)=0,"",IF(ISNUMBER(G27),IF(F27="",Ayarlar!$B$4,F27),0)+IF(ISNUMBER(K27),IF(J27="",Ayarlar!$B$5,J27),0)+IF(ISNUMBER(O27),IF(N27="",Ayarlar!$B$6,N27),0)+IF(ISNUMBER(S27),IF(R27="",Ayarlar!$B$7,R27),0)+IF(ISNUMBER(W27),IF(V27="",Ayarlar!$B$8,V27),0)+IF(ISNUMBER(AA27),IF(Z27="",Ayarlar!$B$9,Z27),0)+IF(ISNUMBER(AE27),IF(AD27="",Ayarlar!$B$10,AD27),0)+IF(ISNUMBER(AI27),IF(AH27="",Ayarlar!$B$11,AH27),0))</f>
        <v/>
      </c>
      <c r="AM27" s="15">
        <f>IF(COUNT(D27,E27,H27,I27,L27,M27,P27,Q27,T27,U27,X27,Y27,AB27,AC27,AF27,AG27)=0,"",AL27-AJ27-AK27)</f>
        <v/>
      </c>
      <c r="AN27" s="16">
        <f>IF(COUNT(D27,E27,H27,I27,L27,M27,P27,Q27,T27,U27,X27,Y27,AB27,AC27,AF27,AG27)=0,"",SUM(G27,K27,O27,S27,W27,AA27,AE27,AI27))</f>
        <v/>
      </c>
      <c r="AO27" s="17">
        <f>IF(OR(COUNT(D27,E27,H27,I27,L27,M27,P27,Q27,T27,U27,X27,Y27,AB27,AC27,AF27,AG27)=0,N(AL27)=0),"",AN27/AL27)</f>
        <v/>
      </c>
      <c r="AP27" s="18">
        <f>IF(OR(AO27="",AO26=""),"",AO27-AO26)</f>
        <v/>
      </c>
      <c r="AQ27" s="19">
        <f>IFERROR((IF(Ayarlar!$B$21=Ayarlar!$E$21,N(G27),0)+IF(Ayarlar!$B$22=Ayarlar!$E$21,N(K27),0)+IF(Ayarlar!$B$23=Ayarlar!$E$21,N(O27),0)+IF(Ayarlar!$B$24=Ayarlar!$E$21,N(S27),0)+IF(Ayarlar!$B$25=Ayarlar!$E$21,N(W27),0)+IF(Ayarlar!$B$26=Ayarlar!$E$21,N(AA27),0)+IF(Ayarlar!$B$27=Ayarlar!$E$21,N(AE27),0)+IF(Ayarlar!$B$28=Ayarlar!$E$21,N(AI27),0))/(IF(AND(Ayarlar!$B$21=Ayarlar!$E$21,ISNUMBER(G27)),IF(F27="",Ayarlar!$B$4,F27),0)+IF(AND(Ayarlar!$B$22=Ayarlar!$E$21,ISNUMBER(K27)),IF(J27="",Ayarlar!$B$5,J27),0)+IF(AND(Ayarlar!$B$23=Ayarlar!$E$21,ISNUMBER(O27)),IF(N27="",Ayarlar!$B$6,N27),0)+IF(AND(Ayarlar!$B$24=Ayarlar!$E$21,ISNUMBER(S27)),IF(R27="",Ayarlar!$B$7,R27),0)+IF(AND(Ayarlar!$B$25=Ayarlar!$E$21,ISNUMBER(W27)),IF(V27="",Ayarlar!$B$8,V27),0)+IF(AND(Ayarlar!$B$26=Ayarlar!$E$21,ISNUMBER(AA27)),IF(Z27="",Ayarlar!$B$9,Z27),0)+IF(AND(Ayarlar!$B$27=Ayarlar!$E$21,ISNUMBER(AE27)),IF(AD27="",Ayarlar!$B$10,AD27),0)+IF(AND(Ayarlar!$B$28=Ayarlar!$E$21,ISNUMBER(AI27)),IF(AH27="",Ayarlar!$B$11,AH27),0))*Ayarlar!$F$21,"")</f>
        <v/>
      </c>
      <c r="AR27" s="19">
        <f>IFERROR((IF(Ayarlar!$B$21=Ayarlar!$E$22,N(G27),0)+IF(Ayarlar!$B$22=Ayarlar!$E$22,N(K27),0)+IF(Ayarlar!$B$23=Ayarlar!$E$22,N(O27),0)+IF(Ayarlar!$B$24=Ayarlar!$E$22,N(S27),0)+IF(Ayarlar!$B$25=Ayarlar!$E$22,N(W27),0)+IF(Ayarlar!$B$26=Ayarlar!$E$22,N(AA27),0)+IF(Ayarlar!$B$27=Ayarlar!$E$22,N(AE27),0)+IF(Ayarlar!$B$28=Ayarlar!$E$22,N(AI27),0))/(IF(AND(Ayarlar!$B$21=Ayarlar!$E$22,ISNUMBER(G27)),IF(F27="",Ayarlar!$B$4,F27),0)+IF(AND(Ayarlar!$B$22=Ayarlar!$E$22,ISNUMBER(K27)),IF(J27="",Ayarlar!$B$5,J27),0)+IF(AND(Ayarlar!$B$23=Ayarlar!$E$22,ISNUMBER(O27)),IF(N27="",Ayarlar!$B$6,N27),0)+IF(AND(Ayarlar!$B$24=Ayarlar!$E$22,ISNUMBER(S27)),IF(R27="",Ayarlar!$B$7,R27),0)+IF(AND(Ayarlar!$B$25=Ayarlar!$E$22,ISNUMBER(W27)),IF(V27="",Ayarlar!$B$8,V27),0)+IF(AND(Ayarlar!$B$26=Ayarlar!$E$22,ISNUMBER(AA27)),IF(Z27="",Ayarlar!$B$9,Z27),0)+IF(AND(Ayarlar!$B$27=Ayarlar!$E$22,ISNUMBER(AE27)),IF(AD27="",Ayarlar!$B$10,AD27),0)+IF(AND(Ayarlar!$B$28=Ayarlar!$E$22,ISNUMBER(AI27)),IF(AH27="",Ayarlar!$B$11,AH27),0))*Ayarlar!$F$22,"")</f>
        <v/>
      </c>
      <c r="AS27" s="19">
        <f>IFERROR((IF(Ayarlar!$B$21=Ayarlar!$E$23,N(G27),0)+IF(Ayarlar!$B$22=Ayarlar!$E$23,N(K27),0)+IF(Ayarlar!$B$23=Ayarlar!$E$23,N(O27),0)+IF(Ayarlar!$B$24=Ayarlar!$E$23,N(S27),0)+IF(Ayarlar!$B$25=Ayarlar!$E$23,N(W27),0)+IF(Ayarlar!$B$26=Ayarlar!$E$23,N(AA27),0)+IF(Ayarlar!$B$27=Ayarlar!$E$23,N(AE27),0)+IF(Ayarlar!$B$28=Ayarlar!$E$23,N(AI27),0))/(IF(AND(Ayarlar!$B$21=Ayarlar!$E$23,ISNUMBER(G27)),IF(F27="",Ayarlar!$B$4,F27),0)+IF(AND(Ayarlar!$B$22=Ayarlar!$E$23,ISNUMBER(K27)),IF(J27="",Ayarlar!$B$5,J27),0)+IF(AND(Ayarlar!$B$23=Ayarlar!$E$23,ISNUMBER(O27)),IF(N27="",Ayarlar!$B$6,N27),0)+IF(AND(Ayarlar!$B$24=Ayarlar!$E$23,ISNUMBER(S27)),IF(R27="",Ayarlar!$B$7,R27),0)+IF(AND(Ayarlar!$B$25=Ayarlar!$E$23,ISNUMBER(W27)),IF(V27="",Ayarlar!$B$8,V27),0)+IF(AND(Ayarlar!$B$26=Ayarlar!$E$23,ISNUMBER(AA27)),IF(Z27="",Ayarlar!$B$9,Z27),0)+IF(AND(Ayarlar!$B$27=Ayarlar!$E$23,ISNUMBER(AE27)),IF(AD27="",Ayarlar!$B$10,AD27),0)+IF(AND(Ayarlar!$B$28=Ayarlar!$E$23,ISNUMBER(AI27)),IF(AH27="",Ayarlar!$B$11,AH27),0))*Ayarlar!$F$23,"")</f>
        <v/>
      </c>
      <c r="AT27" s="19">
        <f>IFERROR((IF(Ayarlar!$B$21=Ayarlar!$E$24,N(G27),0)+IF(Ayarlar!$B$22=Ayarlar!$E$24,N(K27),0)+IF(Ayarlar!$B$23=Ayarlar!$E$24,N(O27),0)+IF(Ayarlar!$B$24=Ayarlar!$E$24,N(S27),0)+IF(Ayarlar!$B$25=Ayarlar!$E$24,N(W27),0)+IF(Ayarlar!$B$26=Ayarlar!$E$24,N(AA27),0)+IF(Ayarlar!$B$27=Ayarlar!$E$24,N(AE27),0)+IF(Ayarlar!$B$28=Ayarlar!$E$24,N(AI27),0))/(IF(AND(Ayarlar!$B$21=Ayarlar!$E$24,ISNUMBER(G27)),IF(F27="",Ayarlar!$B$4,F27),0)+IF(AND(Ayarlar!$B$22=Ayarlar!$E$24,ISNUMBER(K27)),IF(J27="",Ayarlar!$B$5,J27),0)+IF(AND(Ayarlar!$B$23=Ayarlar!$E$24,ISNUMBER(O27)),IF(N27="",Ayarlar!$B$6,N27),0)+IF(AND(Ayarlar!$B$24=Ayarlar!$E$24,ISNUMBER(S27)),IF(R27="",Ayarlar!$B$7,R27),0)+IF(AND(Ayarlar!$B$25=Ayarlar!$E$24,ISNUMBER(W27)),IF(V27="",Ayarlar!$B$8,V27),0)+IF(AND(Ayarlar!$B$26=Ayarlar!$E$24,ISNUMBER(AA27)),IF(Z27="",Ayarlar!$B$9,Z27),0)+IF(AND(Ayarlar!$B$27=Ayarlar!$E$24,ISNUMBER(AE27)),IF(AD27="",Ayarlar!$B$10,AD27),0)+IF(AND(Ayarlar!$B$28=Ayarlar!$E$24,ISNUMBER(AI27)),IF(AH27="",Ayarlar!$B$11,AH27),0))*Ayarlar!$F$24,"")</f>
        <v/>
      </c>
      <c r="AU27" s="20">
        <f>IF(COUNT(AQ27,AR27,AS27,AT27)&lt;4,"",Ayarlar!$F$25+AQ27*Ayarlar!$G$21+AR27*Ayarlar!$G$22+AS27*Ayarlar!$G$23+AT27*Ayarlar!$G$24)</f>
        <v/>
      </c>
    </row>
    <row r="28">
      <c r="A28" s="10" t="n">
        <v>24</v>
      </c>
      <c r="B28" s="11" t="n"/>
      <c r="C28" s="4" t="n"/>
      <c r="D28" s="12" t="n"/>
      <c r="E28" s="12" t="n"/>
      <c r="F28" s="13" t="n"/>
      <c r="G28" s="14">
        <f>IF(AND(D28="",E28=""),"",D28-IF(Ayarlar!$B$16&gt;0,E28/Ayarlar!$B$16,0))</f>
        <v/>
      </c>
      <c r="H28" s="12" t="n"/>
      <c r="I28" s="12" t="n"/>
      <c r="J28" s="13" t="n"/>
      <c r="K28" s="14">
        <f>IF(AND(H28="",I28=""),"",H28-IF(Ayarlar!$B$16&gt;0,I28/Ayarlar!$B$16,0))</f>
        <v/>
      </c>
      <c r="L28" s="12" t="n"/>
      <c r="M28" s="12" t="n"/>
      <c r="N28" s="13" t="n"/>
      <c r="O28" s="14">
        <f>IF(AND(L28="",M28=""),"",L28-IF(Ayarlar!$B$16&gt;0,M28/Ayarlar!$B$16,0))</f>
        <v/>
      </c>
      <c r="P28" s="12" t="n"/>
      <c r="Q28" s="12" t="n"/>
      <c r="R28" s="13" t="n"/>
      <c r="S28" s="14">
        <f>IF(AND(P28="",Q28=""),"",P28-IF(Ayarlar!$B$16&gt;0,Q28/Ayarlar!$B$16,0))</f>
        <v/>
      </c>
      <c r="T28" s="12" t="n"/>
      <c r="U28" s="12" t="n"/>
      <c r="V28" s="13" t="n"/>
      <c r="W28" s="14">
        <f>IF(AND(T28="",U28=""),"",T28-IF(Ayarlar!$B$16&gt;0,U28/Ayarlar!$B$16,0))</f>
        <v/>
      </c>
      <c r="X28" s="12" t="n"/>
      <c r="Y28" s="12" t="n"/>
      <c r="Z28" s="13" t="n"/>
      <c r="AA28" s="14">
        <f>IF(AND(X28="",Y28=""),"",X28-IF(Ayarlar!$B$16&gt;0,Y28/Ayarlar!$B$16,0))</f>
        <v/>
      </c>
      <c r="AB28" s="12" t="n"/>
      <c r="AC28" s="12" t="n"/>
      <c r="AD28" s="13" t="n"/>
      <c r="AE28" s="14">
        <f>IF(AND(AB28="",AC28=""),"",AB28-IF(Ayarlar!$B$16&gt;0,AC28/Ayarlar!$B$16,0))</f>
        <v/>
      </c>
      <c r="AF28" s="12" t="n"/>
      <c r="AG28" s="12" t="n"/>
      <c r="AH28" s="13" t="n"/>
      <c r="AI28" s="14">
        <f>IF(AND(AF28="",AG28=""),"",AF28-IF(Ayarlar!$B$16&gt;0,AG28/Ayarlar!$B$16,0))</f>
        <v/>
      </c>
      <c r="AJ28" s="15">
        <f>IF(COUNT(D28,E28,H28,I28,L28,M28,P28,Q28,T28,U28,X28,Y28,AB28,AC28,AF28,AG28)=0,"",D28+H28+L28+P28+T28+X28+AB28+AF28)</f>
        <v/>
      </c>
      <c r="AK28" s="15">
        <f>IF(COUNT(D28,E28,H28,I28,L28,M28,P28,Q28,T28,U28,X28,Y28,AB28,AC28,AF28,AG28)=0,"",E28+I28+M28+Q28+U28+Y28+AC28+AG28)</f>
        <v/>
      </c>
      <c r="AL28" s="15">
        <f>IF(COUNT(D28,E28,H28,I28,L28,M28,P28,Q28,T28,U28,X28,Y28,AB28,AC28,AF28,AG28)=0,"",IF(ISNUMBER(G28),IF(F28="",Ayarlar!$B$4,F28),0)+IF(ISNUMBER(K28),IF(J28="",Ayarlar!$B$5,J28),0)+IF(ISNUMBER(O28),IF(N28="",Ayarlar!$B$6,N28),0)+IF(ISNUMBER(S28),IF(R28="",Ayarlar!$B$7,R28),0)+IF(ISNUMBER(W28),IF(V28="",Ayarlar!$B$8,V28),0)+IF(ISNUMBER(AA28),IF(Z28="",Ayarlar!$B$9,Z28),0)+IF(ISNUMBER(AE28),IF(AD28="",Ayarlar!$B$10,AD28),0)+IF(ISNUMBER(AI28),IF(AH28="",Ayarlar!$B$11,AH28),0))</f>
        <v/>
      </c>
      <c r="AM28" s="15">
        <f>IF(COUNT(D28,E28,H28,I28,L28,M28,P28,Q28,T28,U28,X28,Y28,AB28,AC28,AF28,AG28)=0,"",AL28-AJ28-AK28)</f>
        <v/>
      </c>
      <c r="AN28" s="16">
        <f>IF(COUNT(D28,E28,H28,I28,L28,M28,P28,Q28,T28,U28,X28,Y28,AB28,AC28,AF28,AG28)=0,"",SUM(G28,K28,O28,S28,W28,AA28,AE28,AI28))</f>
        <v/>
      </c>
      <c r="AO28" s="17">
        <f>IF(OR(COUNT(D28,E28,H28,I28,L28,M28,P28,Q28,T28,U28,X28,Y28,AB28,AC28,AF28,AG28)=0,N(AL28)=0),"",AN28/AL28)</f>
        <v/>
      </c>
      <c r="AP28" s="18">
        <f>IF(OR(AO28="",AO27=""),"",AO28-AO27)</f>
        <v/>
      </c>
      <c r="AQ28" s="19">
        <f>IFERROR((IF(Ayarlar!$B$21=Ayarlar!$E$21,N(G28),0)+IF(Ayarlar!$B$22=Ayarlar!$E$21,N(K28),0)+IF(Ayarlar!$B$23=Ayarlar!$E$21,N(O28),0)+IF(Ayarlar!$B$24=Ayarlar!$E$21,N(S28),0)+IF(Ayarlar!$B$25=Ayarlar!$E$21,N(W28),0)+IF(Ayarlar!$B$26=Ayarlar!$E$21,N(AA28),0)+IF(Ayarlar!$B$27=Ayarlar!$E$21,N(AE28),0)+IF(Ayarlar!$B$28=Ayarlar!$E$21,N(AI28),0))/(IF(AND(Ayarlar!$B$21=Ayarlar!$E$21,ISNUMBER(G28)),IF(F28="",Ayarlar!$B$4,F28),0)+IF(AND(Ayarlar!$B$22=Ayarlar!$E$21,ISNUMBER(K28)),IF(J28="",Ayarlar!$B$5,J28),0)+IF(AND(Ayarlar!$B$23=Ayarlar!$E$21,ISNUMBER(O28)),IF(N28="",Ayarlar!$B$6,N28),0)+IF(AND(Ayarlar!$B$24=Ayarlar!$E$21,ISNUMBER(S28)),IF(R28="",Ayarlar!$B$7,R28),0)+IF(AND(Ayarlar!$B$25=Ayarlar!$E$21,ISNUMBER(W28)),IF(V28="",Ayarlar!$B$8,V28),0)+IF(AND(Ayarlar!$B$26=Ayarlar!$E$21,ISNUMBER(AA28)),IF(Z28="",Ayarlar!$B$9,Z28),0)+IF(AND(Ayarlar!$B$27=Ayarlar!$E$21,ISNUMBER(AE28)),IF(AD28="",Ayarlar!$B$10,AD28),0)+IF(AND(Ayarlar!$B$28=Ayarlar!$E$21,ISNUMBER(AI28)),IF(AH28="",Ayarlar!$B$11,AH28),0))*Ayarlar!$F$21,"")</f>
        <v/>
      </c>
      <c r="AR28" s="19">
        <f>IFERROR((IF(Ayarlar!$B$21=Ayarlar!$E$22,N(G28),0)+IF(Ayarlar!$B$22=Ayarlar!$E$22,N(K28),0)+IF(Ayarlar!$B$23=Ayarlar!$E$22,N(O28),0)+IF(Ayarlar!$B$24=Ayarlar!$E$22,N(S28),0)+IF(Ayarlar!$B$25=Ayarlar!$E$22,N(W28),0)+IF(Ayarlar!$B$26=Ayarlar!$E$22,N(AA28),0)+IF(Ayarlar!$B$27=Ayarlar!$E$22,N(AE28),0)+IF(Ayarlar!$B$28=Ayarlar!$E$22,N(AI28),0))/(IF(AND(Ayarlar!$B$21=Ayarlar!$E$22,ISNUMBER(G28)),IF(F28="",Ayarlar!$B$4,F28),0)+IF(AND(Ayarlar!$B$22=Ayarlar!$E$22,ISNUMBER(K28)),IF(J28="",Ayarlar!$B$5,J28),0)+IF(AND(Ayarlar!$B$23=Ayarlar!$E$22,ISNUMBER(O28)),IF(N28="",Ayarlar!$B$6,N28),0)+IF(AND(Ayarlar!$B$24=Ayarlar!$E$22,ISNUMBER(S28)),IF(R28="",Ayarlar!$B$7,R28),0)+IF(AND(Ayarlar!$B$25=Ayarlar!$E$22,ISNUMBER(W28)),IF(V28="",Ayarlar!$B$8,V28),0)+IF(AND(Ayarlar!$B$26=Ayarlar!$E$22,ISNUMBER(AA28)),IF(Z28="",Ayarlar!$B$9,Z28),0)+IF(AND(Ayarlar!$B$27=Ayarlar!$E$22,ISNUMBER(AE28)),IF(AD28="",Ayarlar!$B$10,AD28),0)+IF(AND(Ayarlar!$B$28=Ayarlar!$E$22,ISNUMBER(AI28)),IF(AH28="",Ayarlar!$B$11,AH28),0))*Ayarlar!$F$22,"")</f>
        <v/>
      </c>
      <c r="AS28" s="19">
        <f>IFERROR((IF(Ayarlar!$B$21=Ayarlar!$E$23,N(G28),0)+IF(Ayarlar!$B$22=Ayarlar!$E$23,N(K28),0)+IF(Ayarlar!$B$23=Ayarlar!$E$23,N(O28),0)+IF(Ayarlar!$B$24=Ayarlar!$E$23,N(S28),0)+IF(Ayarlar!$B$25=Ayarlar!$E$23,N(W28),0)+IF(Ayarlar!$B$26=Ayarlar!$E$23,N(AA28),0)+IF(Ayarlar!$B$27=Ayarlar!$E$23,N(AE28),0)+IF(Ayarlar!$B$28=Ayarlar!$E$23,N(AI28),0))/(IF(AND(Ayarlar!$B$21=Ayarlar!$E$23,ISNUMBER(G28)),IF(F28="",Ayarlar!$B$4,F28),0)+IF(AND(Ayarlar!$B$22=Ayarlar!$E$23,ISNUMBER(K28)),IF(J28="",Ayarlar!$B$5,J28),0)+IF(AND(Ayarlar!$B$23=Ayarlar!$E$23,ISNUMBER(O28)),IF(N28="",Ayarlar!$B$6,N28),0)+IF(AND(Ayarlar!$B$24=Ayarlar!$E$23,ISNUMBER(S28)),IF(R28="",Ayarlar!$B$7,R28),0)+IF(AND(Ayarlar!$B$25=Ayarlar!$E$23,ISNUMBER(W28)),IF(V28="",Ayarlar!$B$8,V28),0)+IF(AND(Ayarlar!$B$26=Ayarlar!$E$23,ISNUMBER(AA28)),IF(Z28="",Ayarlar!$B$9,Z28),0)+IF(AND(Ayarlar!$B$27=Ayarlar!$E$23,ISNUMBER(AE28)),IF(AD28="",Ayarlar!$B$10,AD28),0)+IF(AND(Ayarlar!$B$28=Ayarlar!$E$23,ISNUMBER(AI28)),IF(AH28="",Ayarlar!$B$11,AH28),0))*Ayarlar!$F$23,"")</f>
        <v/>
      </c>
      <c r="AT28" s="19">
        <f>IFERROR((IF(Ayarlar!$B$21=Ayarlar!$E$24,N(G28),0)+IF(Ayarlar!$B$22=Ayarlar!$E$24,N(K28),0)+IF(Ayarlar!$B$23=Ayarlar!$E$24,N(O28),0)+IF(Ayarlar!$B$24=Ayarlar!$E$24,N(S28),0)+IF(Ayarlar!$B$25=Ayarlar!$E$24,N(W28),0)+IF(Ayarlar!$B$26=Ayarlar!$E$24,N(AA28),0)+IF(Ayarlar!$B$27=Ayarlar!$E$24,N(AE28),0)+IF(Ayarlar!$B$28=Ayarlar!$E$24,N(AI28),0))/(IF(AND(Ayarlar!$B$21=Ayarlar!$E$24,ISNUMBER(G28)),IF(F28="",Ayarlar!$B$4,F28),0)+IF(AND(Ayarlar!$B$22=Ayarlar!$E$24,ISNUMBER(K28)),IF(J28="",Ayarlar!$B$5,J28),0)+IF(AND(Ayarlar!$B$23=Ayarlar!$E$24,ISNUMBER(O28)),IF(N28="",Ayarlar!$B$6,N28),0)+IF(AND(Ayarlar!$B$24=Ayarlar!$E$24,ISNUMBER(S28)),IF(R28="",Ayarlar!$B$7,R28),0)+IF(AND(Ayarlar!$B$25=Ayarlar!$E$24,ISNUMBER(W28)),IF(V28="",Ayarlar!$B$8,V28),0)+IF(AND(Ayarlar!$B$26=Ayarlar!$E$24,ISNUMBER(AA28)),IF(Z28="",Ayarlar!$B$9,Z28),0)+IF(AND(Ayarlar!$B$27=Ayarlar!$E$24,ISNUMBER(AE28)),IF(AD28="",Ayarlar!$B$10,AD28),0)+IF(AND(Ayarlar!$B$28=Ayarlar!$E$24,ISNUMBER(AI28)),IF(AH28="",Ayarlar!$B$11,AH28),0))*Ayarlar!$F$24,"")</f>
        <v/>
      </c>
      <c r="AU28" s="20">
        <f>IF(COUNT(AQ28,AR28,AS28,AT28)&lt;4,"",Ayarlar!$F$25+AQ28*Ayarlar!$G$21+AR28*Ayarlar!$G$22+AS28*Ayarlar!$G$23+AT28*Ayarlar!$G$24)</f>
        <v/>
      </c>
    </row>
    <row r="29">
      <c r="A29" s="10" t="n">
        <v>25</v>
      </c>
      <c r="B29" s="11" t="n"/>
      <c r="C29" s="4" t="n"/>
      <c r="D29" s="12" t="n"/>
      <c r="E29" s="12" t="n"/>
      <c r="F29" s="13" t="n"/>
      <c r="G29" s="14">
        <f>IF(AND(D29="",E29=""),"",D29-IF(Ayarlar!$B$16&gt;0,E29/Ayarlar!$B$16,0))</f>
        <v/>
      </c>
      <c r="H29" s="12" t="n"/>
      <c r="I29" s="12" t="n"/>
      <c r="J29" s="13" t="n"/>
      <c r="K29" s="14">
        <f>IF(AND(H29="",I29=""),"",H29-IF(Ayarlar!$B$16&gt;0,I29/Ayarlar!$B$16,0))</f>
        <v/>
      </c>
      <c r="L29" s="12" t="n"/>
      <c r="M29" s="12" t="n"/>
      <c r="N29" s="13" t="n"/>
      <c r="O29" s="14">
        <f>IF(AND(L29="",M29=""),"",L29-IF(Ayarlar!$B$16&gt;0,M29/Ayarlar!$B$16,0))</f>
        <v/>
      </c>
      <c r="P29" s="12" t="n"/>
      <c r="Q29" s="12" t="n"/>
      <c r="R29" s="13" t="n"/>
      <c r="S29" s="14">
        <f>IF(AND(P29="",Q29=""),"",P29-IF(Ayarlar!$B$16&gt;0,Q29/Ayarlar!$B$16,0))</f>
        <v/>
      </c>
      <c r="T29" s="12" t="n"/>
      <c r="U29" s="12" t="n"/>
      <c r="V29" s="13" t="n"/>
      <c r="W29" s="14">
        <f>IF(AND(T29="",U29=""),"",T29-IF(Ayarlar!$B$16&gt;0,U29/Ayarlar!$B$16,0))</f>
        <v/>
      </c>
      <c r="X29" s="12" t="n"/>
      <c r="Y29" s="12" t="n"/>
      <c r="Z29" s="13" t="n"/>
      <c r="AA29" s="14">
        <f>IF(AND(X29="",Y29=""),"",X29-IF(Ayarlar!$B$16&gt;0,Y29/Ayarlar!$B$16,0))</f>
        <v/>
      </c>
      <c r="AB29" s="12" t="n"/>
      <c r="AC29" s="12" t="n"/>
      <c r="AD29" s="13" t="n"/>
      <c r="AE29" s="14">
        <f>IF(AND(AB29="",AC29=""),"",AB29-IF(Ayarlar!$B$16&gt;0,AC29/Ayarlar!$B$16,0))</f>
        <v/>
      </c>
      <c r="AF29" s="12" t="n"/>
      <c r="AG29" s="12" t="n"/>
      <c r="AH29" s="13" t="n"/>
      <c r="AI29" s="14">
        <f>IF(AND(AF29="",AG29=""),"",AF29-IF(Ayarlar!$B$16&gt;0,AG29/Ayarlar!$B$16,0))</f>
        <v/>
      </c>
      <c r="AJ29" s="15">
        <f>IF(COUNT(D29,E29,H29,I29,L29,M29,P29,Q29,T29,U29,X29,Y29,AB29,AC29,AF29,AG29)=0,"",D29+H29+L29+P29+T29+X29+AB29+AF29)</f>
        <v/>
      </c>
      <c r="AK29" s="15">
        <f>IF(COUNT(D29,E29,H29,I29,L29,M29,P29,Q29,T29,U29,X29,Y29,AB29,AC29,AF29,AG29)=0,"",E29+I29+M29+Q29+U29+Y29+AC29+AG29)</f>
        <v/>
      </c>
      <c r="AL29" s="15">
        <f>IF(COUNT(D29,E29,H29,I29,L29,M29,P29,Q29,T29,U29,X29,Y29,AB29,AC29,AF29,AG29)=0,"",IF(ISNUMBER(G29),IF(F29="",Ayarlar!$B$4,F29),0)+IF(ISNUMBER(K29),IF(J29="",Ayarlar!$B$5,J29),0)+IF(ISNUMBER(O29),IF(N29="",Ayarlar!$B$6,N29),0)+IF(ISNUMBER(S29),IF(R29="",Ayarlar!$B$7,R29),0)+IF(ISNUMBER(W29),IF(V29="",Ayarlar!$B$8,V29),0)+IF(ISNUMBER(AA29),IF(Z29="",Ayarlar!$B$9,Z29),0)+IF(ISNUMBER(AE29),IF(AD29="",Ayarlar!$B$10,AD29),0)+IF(ISNUMBER(AI29),IF(AH29="",Ayarlar!$B$11,AH29),0))</f>
        <v/>
      </c>
      <c r="AM29" s="15">
        <f>IF(COUNT(D29,E29,H29,I29,L29,M29,P29,Q29,T29,U29,X29,Y29,AB29,AC29,AF29,AG29)=0,"",AL29-AJ29-AK29)</f>
        <v/>
      </c>
      <c r="AN29" s="16">
        <f>IF(COUNT(D29,E29,H29,I29,L29,M29,P29,Q29,T29,U29,X29,Y29,AB29,AC29,AF29,AG29)=0,"",SUM(G29,K29,O29,S29,W29,AA29,AE29,AI29))</f>
        <v/>
      </c>
      <c r="AO29" s="17">
        <f>IF(OR(COUNT(D29,E29,H29,I29,L29,M29,P29,Q29,T29,U29,X29,Y29,AB29,AC29,AF29,AG29)=0,N(AL29)=0),"",AN29/AL29)</f>
        <v/>
      </c>
      <c r="AP29" s="18">
        <f>IF(OR(AO29="",AO28=""),"",AO29-AO28)</f>
        <v/>
      </c>
      <c r="AQ29" s="19">
        <f>IFERROR((IF(Ayarlar!$B$21=Ayarlar!$E$21,N(G29),0)+IF(Ayarlar!$B$22=Ayarlar!$E$21,N(K29),0)+IF(Ayarlar!$B$23=Ayarlar!$E$21,N(O29),0)+IF(Ayarlar!$B$24=Ayarlar!$E$21,N(S29),0)+IF(Ayarlar!$B$25=Ayarlar!$E$21,N(W29),0)+IF(Ayarlar!$B$26=Ayarlar!$E$21,N(AA29),0)+IF(Ayarlar!$B$27=Ayarlar!$E$21,N(AE29),0)+IF(Ayarlar!$B$28=Ayarlar!$E$21,N(AI29),0))/(IF(AND(Ayarlar!$B$21=Ayarlar!$E$21,ISNUMBER(G29)),IF(F29="",Ayarlar!$B$4,F29),0)+IF(AND(Ayarlar!$B$22=Ayarlar!$E$21,ISNUMBER(K29)),IF(J29="",Ayarlar!$B$5,J29),0)+IF(AND(Ayarlar!$B$23=Ayarlar!$E$21,ISNUMBER(O29)),IF(N29="",Ayarlar!$B$6,N29),0)+IF(AND(Ayarlar!$B$24=Ayarlar!$E$21,ISNUMBER(S29)),IF(R29="",Ayarlar!$B$7,R29),0)+IF(AND(Ayarlar!$B$25=Ayarlar!$E$21,ISNUMBER(W29)),IF(V29="",Ayarlar!$B$8,V29),0)+IF(AND(Ayarlar!$B$26=Ayarlar!$E$21,ISNUMBER(AA29)),IF(Z29="",Ayarlar!$B$9,Z29),0)+IF(AND(Ayarlar!$B$27=Ayarlar!$E$21,ISNUMBER(AE29)),IF(AD29="",Ayarlar!$B$10,AD29),0)+IF(AND(Ayarlar!$B$28=Ayarlar!$E$21,ISNUMBER(AI29)),IF(AH29="",Ayarlar!$B$11,AH29),0))*Ayarlar!$F$21,"")</f>
        <v/>
      </c>
      <c r="AR29" s="19">
        <f>IFERROR((IF(Ayarlar!$B$21=Ayarlar!$E$22,N(G29),0)+IF(Ayarlar!$B$22=Ayarlar!$E$22,N(K29),0)+IF(Ayarlar!$B$23=Ayarlar!$E$22,N(O29),0)+IF(Ayarlar!$B$24=Ayarlar!$E$22,N(S29),0)+IF(Ayarlar!$B$25=Ayarlar!$E$22,N(W29),0)+IF(Ayarlar!$B$26=Ayarlar!$E$22,N(AA29),0)+IF(Ayarlar!$B$27=Ayarlar!$E$22,N(AE29),0)+IF(Ayarlar!$B$28=Ayarlar!$E$22,N(AI29),0))/(IF(AND(Ayarlar!$B$21=Ayarlar!$E$22,ISNUMBER(G29)),IF(F29="",Ayarlar!$B$4,F29),0)+IF(AND(Ayarlar!$B$22=Ayarlar!$E$22,ISNUMBER(K29)),IF(J29="",Ayarlar!$B$5,J29),0)+IF(AND(Ayarlar!$B$23=Ayarlar!$E$22,ISNUMBER(O29)),IF(N29="",Ayarlar!$B$6,N29),0)+IF(AND(Ayarlar!$B$24=Ayarlar!$E$22,ISNUMBER(S29)),IF(R29="",Ayarlar!$B$7,R29),0)+IF(AND(Ayarlar!$B$25=Ayarlar!$E$22,ISNUMBER(W29)),IF(V29="",Ayarlar!$B$8,V29),0)+IF(AND(Ayarlar!$B$26=Ayarlar!$E$22,ISNUMBER(AA29)),IF(Z29="",Ayarlar!$B$9,Z29),0)+IF(AND(Ayarlar!$B$27=Ayarlar!$E$22,ISNUMBER(AE29)),IF(AD29="",Ayarlar!$B$10,AD29),0)+IF(AND(Ayarlar!$B$28=Ayarlar!$E$22,ISNUMBER(AI29)),IF(AH29="",Ayarlar!$B$11,AH29),0))*Ayarlar!$F$22,"")</f>
        <v/>
      </c>
      <c r="AS29" s="19">
        <f>IFERROR((IF(Ayarlar!$B$21=Ayarlar!$E$23,N(G29),0)+IF(Ayarlar!$B$22=Ayarlar!$E$23,N(K29),0)+IF(Ayarlar!$B$23=Ayarlar!$E$23,N(O29),0)+IF(Ayarlar!$B$24=Ayarlar!$E$23,N(S29),0)+IF(Ayarlar!$B$25=Ayarlar!$E$23,N(W29),0)+IF(Ayarlar!$B$26=Ayarlar!$E$23,N(AA29),0)+IF(Ayarlar!$B$27=Ayarlar!$E$23,N(AE29),0)+IF(Ayarlar!$B$28=Ayarlar!$E$23,N(AI29),0))/(IF(AND(Ayarlar!$B$21=Ayarlar!$E$23,ISNUMBER(G29)),IF(F29="",Ayarlar!$B$4,F29),0)+IF(AND(Ayarlar!$B$22=Ayarlar!$E$23,ISNUMBER(K29)),IF(J29="",Ayarlar!$B$5,J29),0)+IF(AND(Ayarlar!$B$23=Ayarlar!$E$23,ISNUMBER(O29)),IF(N29="",Ayarlar!$B$6,N29),0)+IF(AND(Ayarlar!$B$24=Ayarlar!$E$23,ISNUMBER(S29)),IF(R29="",Ayarlar!$B$7,R29),0)+IF(AND(Ayarlar!$B$25=Ayarlar!$E$23,ISNUMBER(W29)),IF(V29="",Ayarlar!$B$8,V29),0)+IF(AND(Ayarlar!$B$26=Ayarlar!$E$23,ISNUMBER(AA29)),IF(Z29="",Ayarlar!$B$9,Z29),0)+IF(AND(Ayarlar!$B$27=Ayarlar!$E$23,ISNUMBER(AE29)),IF(AD29="",Ayarlar!$B$10,AD29),0)+IF(AND(Ayarlar!$B$28=Ayarlar!$E$23,ISNUMBER(AI29)),IF(AH29="",Ayarlar!$B$11,AH29),0))*Ayarlar!$F$23,"")</f>
        <v/>
      </c>
      <c r="AT29" s="19">
        <f>IFERROR((IF(Ayarlar!$B$21=Ayarlar!$E$24,N(G29),0)+IF(Ayarlar!$B$22=Ayarlar!$E$24,N(K29),0)+IF(Ayarlar!$B$23=Ayarlar!$E$24,N(O29),0)+IF(Ayarlar!$B$24=Ayarlar!$E$24,N(S29),0)+IF(Ayarlar!$B$25=Ayarlar!$E$24,N(W29),0)+IF(Ayarlar!$B$26=Ayarlar!$E$24,N(AA29),0)+IF(Ayarlar!$B$27=Ayarlar!$E$24,N(AE29),0)+IF(Ayarlar!$B$28=Ayarlar!$E$24,N(AI29),0))/(IF(AND(Ayarlar!$B$21=Ayarlar!$E$24,ISNUMBER(G29)),IF(F29="",Ayarlar!$B$4,F29),0)+IF(AND(Ayarlar!$B$22=Ayarlar!$E$24,ISNUMBER(K29)),IF(J29="",Ayarlar!$B$5,J29),0)+IF(AND(Ayarlar!$B$23=Ayarlar!$E$24,ISNUMBER(O29)),IF(N29="",Ayarlar!$B$6,N29),0)+IF(AND(Ayarlar!$B$24=Ayarlar!$E$24,ISNUMBER(S29)),IF(R29="",Ayarlar!$B$7,R29),0)+IF(AND(Ayarlar!$B$25=Ayarlar!$E$24,ISNUMBER(W29)),IF(V29="",Ayarlar!$B$8,V29),0)+IF(AND(Ayarlar!$B$26=Ayarlar!$E$24,ISNUMBER(AA29)),IF(Z29="",Ayarlar!$B$9,Z29),0)+IF(AND(Ayarlar!$B$27=Ayarlar!$E$24,ISNUMBER(AE29)),IF(AD29="",Ayarlar!$B$10,AD29),0)+IF(AND(Ayarlar!$B$28=Ayarlar!$E$24,ISNUMBER(AI29)),IF(AH29="",Ayarlar!$B$11,AH29),0))*Ayarlar!$F$24,"")</f>
        <v/>
      </c>
      <c r="AU29" s="20">
        <f>IF(COUNT(AQ29,AR29,AS29,AT29)&lt;4,"",Ayarlar!$F$25+AQ29*Ayarlar!$G$21+AR29*Ayarlar!$G$22+AS29*Ayarlar!$G$23+AT29*Ayarlar!$G$24)</f>
        <v/>
      </c>
    </row>
    <row r="30">
      <c r="A30" s="10" t="n">
        <v>26</v>
      </c>
      <c r="B30" s="11" t="n"/>
      <c r="C30" s="4" t="n"/>
      <c r="D30" s="12" t="n"/>
      <c r="E30" s="12" t="n"/>
      <c r="F30" s="13" t="n"/>
      <c r="G30" s="14">
        <f>IF(AND(D30="",E30=""),"",D30-IF(Ayarlar!$B$16&gt;0,E30/Ayarlar!$B$16,0))</f>
        <v/>
      </c>
      <c r="H30" s="12" t="n"/>
      <c r="I30" s="12" t="n"/>
      <c r="J30" s="13" t="n"/>
      <c r="K30" s="14">
        <f>IF(AND(H30="",I30=""),"",H30-IF(Ayarlar!$B$16&gt;0,I30/Ayarlar!$B$16,0))</f>
        <v/>
      </c>
      <c r="L30" s="12" t="n"/>
      <c r="M30" s="12" t="n"/>
      <c r="N30" s="13" t="n"/>
      <c r="O30" s="14">
        <f>IF(AND(L30="",M30=""),"",L30-IF(Ayarlar!$B$16&gt;0,M30/Ayarlar!$B$16,0))</f>
        <v/>
      </c>
      <c r="P30" s="12" t="n"/>
      <c r="Q30" s="12" t="n"/>
      <c r="R30" s="13" t="n"/>
      <c r="S30" s="14">
        <f>IF(AND(P30="",Q30=""),"",P30-IF(Ayarlar!$B$16&gt;0,Q30/Ayarlar!$B$16,0))</f>
        <v/>
      </c>
      <c r="T30" s="12" t="n"/>
      <c r="U30" s="12" t="n"/>
      <c r="V30" s="13" t="n"/>
      <c r="W30" s="14">
        <f>IF(AND(T30="",U30=""),"",T30-IF(Ayarlar!$B$16&gt;0,U30/Ayarlar!$B$16,0))</f>
        <v/>
      </c>
      <c r="X30" s="12" t="n"/>
      <c r="Y30" s="12" t="n"/>
      <c r="Z30" s="13" t="n"/>
      <c r="AA30" s="14">
        <f>IF(AND(X30="",Y30=""),"",X30-IF(Ayarlar!$B$16&gt;0,Y30/Ayarlar!$B$16,0))</f>
        <v/>
      </c>
      <c r="AB30" s="12" t="n"/>
      <c r="AC30" s="12" t="n"/>
      <c r="AD30" s="13" t="n"/>
      <c r="AE30" s="14">
        <f>IF(AND(AB30="",AC30=""),"",AB30-IF(Ayarlar!$B$16&gt;0,AC30/Ayarlar!$B$16,0))</f>
        <v/>
      </c>
      <c r="AF30" s="12" t="n"/>
      <c r="AG30" s="12" t="n"/>
      <c r="AH30" s="13" t="n"/>
      <c r="AI30" s="14">
        <f>IF(AND(AF30="",AG30=""),"",AF30-IF(Ayarlar!$B$16&gt;0,AG30/Ayarlar!$B$16,0))</f>
        <v/>
      </c>
      <c r="AJ30" s="15">
        <f>IF(COUNT(D30,E30,H30,I30,L30,M30,P30,Q30,T30,U30,X30,Y30,AB30,AC30,AF30,AG30)=0,"",D30+H30+L30+P30+T30+X30+AB30+AF30)</f>
        <v/>
      </c>
      <c r="AK30" s="15">
        <f>IF(COUNT(D30,E30,H30,I30,L30,M30,P30,Q30,T30,U30,X30,Y30,AB30,AC30,AF30,AG30)=0,"",E30+I30+M30+Q30+U30+Y30+AC30+AG30)</f>
        <v/>
      </c>
      <c r="AL30" s="15">
        <f>IF(COUNT(D30,E30,H30,I30,L30,M30,P30,Q30,T30,U30,X30,Y30,AB30,AC30,AF30,AG30)=0,"",IF(ISNUMBER(G30),IF(F30="",Ayarlar!$B$4,F30),0)+IF(ISNUMBER(K30),IF(J30="",Ayarlar!$B$5,J30),0)+IF(ISNUMBER(O30),IF(N30="",Ayarlar!$B$6,N30),0)+IF(ISNUMBER(S30),IF(R30="",Ayarlar!$B$7,R30),0)+IF(ISNUMBER(W30),IF(V30="",Ayarlar!$B$8,V30),0)+IF(ISNUMBER(AA30),IF(Z30="",Ayarlar!$B$9,Z30),0)+IF(ISNUMBER(AE30),IF(AD30="",Ayarlar!$B$10,AD30),0)+IF(ISNUMBER(AI30),IF(AH30="",Ayarlar!$B$11,AH30),0))</f>
        <v/>
      </c>
      <c r="AM30" s="15">
        <f>IF(COUNT(D30,E30,H30,I30,L30,M30,P30,Q30,T30,U30,X30,Y30,AB30,AC30,AF30,AG30)=0,"",AL30-AJ30-AK30)</f>
        <v/>
      </c>
      <c r="AN30" s="16">
        <f>IF(COUNT(D30,E30,H30,I30,L30,M30,P30,Q30,T30,U30,X30,Y30,AB30,AC30,AF30,AG30)=0,"",SUM(G30,K30,O30,S30,W30,AA30,AE30,AI30))</f>
        <v/>
      </c>
      <c r="AO30" s="17">
        <f>IF(OR(COUNT(D30,E30,H30,I30,L30,M30,P30,Q30,T30,U30,X30,Y30,AB30,AC30,AF30,AG30)=0,N(AL30)=0),"",AN30/AL30)</f>
        <v/>
      </c>
      <c r="AP30" s="18">
        <f>IF(OR(AO30="",AO29=""),"",AO30-AO29)</f>
        <v/>
      </c>
      <c r="AQ30" s="19">
        <f>IFERROR((IF(Ayarlar!$B$21=Ayarlar!$E$21,N(G30),0)+IF(Ayarlar!$B$22=Ayarlar!$E$21,N(K30),0)+IF(Ayarlar!$B$23=Ayarlar!$E$21,N(O30),0)+IF(Ayarlar!$B$24=Ayarlar!$E$21,N(S30),0)+IF(Ayarlar!$B$25=Ayarlar!$E$21,N(W30),0)+IF(Ayarlar!$B$26=Ayarlar!$E$21,N(AA30),0)+IF(Ayarlar!$B$27=Ayarlar!$E$21,N(AE30),0)+IF(Ayarlar!$B$28=Ayarlar!$E$21,N(AI30),0))/(IF(AND(Ayarlar!$B$21=Ayarlar!$E$21,ISNUMBER(G30)),IF(F30="",Ayarlar!$B$4,F30),0)+IF(AND(Ayarlar!$B$22=Ayarlar!$E$21,ISNUMBER(K30)),IF(J30="",Ayarlar!$B$5,J30),0)+IF(AND(Ayarlar!$B$23=Ayarlar!$E$21,ISNUMBER(O30)),IF(N30="",Ayarlar!$B$6,N30),0)+IF(AND(Ayarlar!$B$24=Ayarlar!$E$21,ISNUMBER(S30)),IF(R30="",Ayarlar!$B$7,R30),0)+IF(AND(Ayarlar!$B$25=Ayarlar!$E$21,ISNUMBER(W30)),IF(V30="",Ayarlar!$B$8,V30),0)+IF(AND(Ayarlar!$B$26=Ayarlar!$E$21,ISNUMBER(AA30)),IF(Z30="",Ayarlar!$B$9,Z30),0)+IF(AND(Ayarlar!$B$27=Ayarlar!$E$21,ISNUMBER(AE30)),IF(AD30="",Ayarlar!$B$10,AD30),0)+IF(AND(Ayarlar!$B$28=Ayarlar!$E$21,ISNUMBER(AI30)),IF(AH30="",Ayarlar!$B$11,AH30),0))*Ayarlar!$F$21,"")</f>
        <v/>
      </c>
      <c r="AR30" s="19">
        <f>IFERROR((IF(Ayarlar!$B$21=Ayarlar!$E$22,N(G30),0)+IF(Ayarlar!$B$22=Ayarlar!$E$22,N(K30),0)+IF(Ayarlar!$B$23=Ayarlar!$E$22,N(O30),0)+IF(Ayarlar!$B$24=Ayarlar!$E$22,N(S30),0)+IF(Ayarlar!$B$25=Ayarlar!$E$22,N(W30),0)+IF(Ayarlar!$B$26=Ayarlar!$E$22,N(AA30),0)+IF(Ayarlar!$B$27=Ayarlar!$E$22,N(AE30),0)+IF(Ayarlar!$B$28=Ayarlar!$E$22,N(AI30),0))/(IF(AND(Ayarlar!$B$21=Ayarlar!$E$22,ISNUMBER(G30)),IF(F30="",Ayarlar!$B$4,F30),0)+IF(AND(Ayarlar!$B$22=Ayarlar!$E$22,ISNUMBER(K30)),IF(J30="",Ayarlar!$B$5,J30),0)+IF(AND(Ayarlar!$B$23=Ayarlar!$E$22,ISNUMBER(O30)),IF(N30="",Ayarlar!$B$6,N30),0)+IF(AND(Ayarlar!$B$24=Ayarlar!$E$22,ISNUMBER(S30)),IF(R30="",Ayarlar!$B$7,R30),0)+IF(AND(Ayarlar!$B$25=Ayarlar!$E$22,ISNUMBER(W30)),IF(V30="",Ayarlar!$B$8,V30),0)+IF(AND(Ayarlar!$B$26=Ayarlar!$E$22,ISNUMBER(AA30)),IF(Z30="",Ayarlar!$B$9,Z30),0)+IF(AND(Ayarlar!$B$27=Ayarlar!$E$22,ISNUMBER(AE30)),IF(AD30="",Ayarlar!$B$10,AD30),0)+IF(AND(Ayarlar!$B$28=Ayarlar!$E$22,ISNUMBER(AI30)),IF(AH30="",Ayarlar!$B$11,AH30),0))*Ayarlar!$F$22,"")</f>
        <v/>
      </c>
      <c r="AS30" s="19">
        <f>IFERROR((IF(Ayarlar!$B$21=Ayarlar!$E$23,N(G30),0)+IF(Ayarlar!$B$22=Ayarlar!$E$23,N(K30),0)+IF(Ayarlar!$B$23=Ayarlar!$E$23,N(O30),0)+IF(Ayarlar!$B$24=Ayarlar!$E$23,N(S30),0)+IF(Ayarlar!$B$25=Ayarlar!$E$23,N(W30),0)+IF(Ayarlar!$B$26=Ayarlar!$E$23,N(AA30),0)+IF(Ayarlar!$B$27=Ayarlar!$E$23,N(AE30),0)+IF(Ayarlar!$B$28=Ayarlar!$E$23,N(AI30),0))/(IF(AND(Ayarlar!$B$21=Ayarlar!$E$23,ISNUMBER(G30)),IF(F30="",Ayarlar!$B$4,F30),0)+IF(AND(Ayarlar!$B$22=Ayarlar!$E$23,ISNUMBER(K30)),IF(J30="",Ayarlar!$B$5,J30),0)+IF(AND(Ayarlar!$B$23=Ayarlar!$E$23,ISNUMBER(O30)),IF(N30="",Ayarlar!$B$6,N30),0)+IF(AND(Ayarlar!$B$24=Ayarlar!$E$23,ISNUMBER(S30)),IF(R30="",Ayarlar!$B$7,R30),0)+IF(AND(Ayarlar!$B$25=Ayarlar!$E$23,ISNUMBER(W30)),IF(V30="",Ayarlar!$B$8,V30),0)+IF(AND(Ayarlar!$B$26=Ayarlar!$E$23,ISNUMBER(AA30)),IF(Z30="",Ayarlar!$B$9,Z30),0)+IF(AND(Ayarlar!$B$27=Ayarlar!$E$23,ISNUMBER(AE30)),IF(AD30="",Ayarlar!$B$10,AD30),0)+IF(AND(Ayarlar!$B$28=Ayarlar!$E$23,ISNUMBER(AI30)),IF(AH30="",Ayarlar!$B$11,AH30),0))*Ayarlar!$F$23,"")</f>
        <v/>
      </c>
      <c r="AT30" s="19">
        <f>IFERROR((IF(Ayarlar!$B$21=Ayarlar!$E$24,N(G30),0)+IF(Ayarlar!$B$22=Ayarlar!$E$24,N(K30),0)+IF(Ayarlar!$B$23=Ayarlar!$E$24,N(O30),0)+IF(Ayarlar!$B$24=Ayarlar!$E$24,N(S30),0)+IF(Ayarlar!$B$25=Ayarlar!$E$24,N(W30),0)+IF(Ayarlar!$B$26=Ayarlar!$E$24,N(AA30),0)+IF(Ayarlar!$B$27=Ayarlar!$E$24,N(AE30),0)+IF(Ayarlar!$B$28=Ayarlar!$E$24,N(AI30),0))/(IF(AND(Ayarlar!$B$21=Ayarlar!$E$24,ISNUMBER(G30)),IF(F30="",Ayarlar!$B$4,F30),0)+IF(AND(Ayarlar!$B$22=Ayarlar!$E$24,ISNUMBER(K30)),IF(J30="",Ayarlar!$B$5,J30),0)+IF(AND(Ayarlar!$B$23=Ayarlar!$E$24,ISNUMBER(O30)),IF(N30="",Ayarlar!$B$6,N30),0)+IF(AND(Ayarlar!$B$24=Ayarlar!$E$24,ISNUMBER(S30)),IF(R30="",Ayarlar!$B$7,R30),0)+IF(AND(Ayarlar!$B$25=Ayarlar!$E$24,ISNUMBER(W30)),IF(V30="",Ayarlar!$B$8,V30),0)+IF(AND(Ayarlar!$B$26=Ayarlar!$E$24,ISNUMBER(AA30)),IF(Z30="",Ayarlar!$B$9,Z30),0)+IF(AND(Ayarlar!$B$27=Ayarlar!$E$24,ISNUMBER(AE30)),IF(AD30="",Ayarlar!$B$10,AD30),0)+IF(AND(Ayarlar!$B$28=Ayarlar!$E$24,ISNUMBER(AI30)),IF(AH30="",Ayarlar!$B$11,AH30),0))*Ayarlar!$F$24,"")</f>
        <v/>
      </c>
      <c r="AU30" s="20">
        <f>IF(COUNT(AQ30,AR30,AS30,AT30)&lt;4,"",Ayarlar!$F$25+AQ30*Ayarlar!$G$21+AR30*Ayarlar!$G$22+AS30*Ayarlar!$G$23+AT30*Ayarlar!$G$24)</f>
        <v/>
      </c>
    </row>
    <row r="31">
      <c r="A31" s="10" t="n">
        <v>27</v>
      </c>
      <c r="B31" s="11" t="n"/>
      <c r="C31" s="4" t="n"/>
      <c r="D31" s="12" t="n"/>
      <c r="E31" s="12" t="n"/>
      <c r="F31" s="13" t="n"/>
      <c r="G31" s="14">
        <f>IF(AND(D31="",E31=""),"",D31-IF(Ayarlar!$B$16&gt;0,E31/Ayarlar!$B$16,0))</f>
        <v/>
      </c>
      <c r="H31" s="12" t="n"/>
      <c r="I31" s="12" t="n"/>
      <c r="J31" s="13" t="n"/>
      <c r="K31" s="14">
        <f>IF(AND(H31="",I31=""),"",H31-IF(Ayarlar!$B$16&gt;0,I31/Ayarlar!$B$16,0))</f>
        <v/>
      </c>
      <c r="L31" s="12" t="n"/>
      <c r="M31" s="12" t="n"/>
      <c r="N31" s="13" t="n"/>
      <c r="O31" s="14">
        <f>IF(AND(L31="",M31=""),"",L31-IF(Ayarlar!$B$16&gt;0,M31/Ayarlar!$B$16,0))</f>
        <v/>
      </c>
      <c r="P31" s="12" t="n"/>
      <c r="Q31" s="12" t="n"/>
      <c r="R31" s="13" t="n"/>
      <c r="S31" s="14">
        <f>IF(AND(P31="",Q31=""),"",P31-IF(Ayarlar!$B$16&gt;0,Q31/Ayarlar!$B$16,0))</f>
        <v/>
      </c>
      <c r="T31" s="12" t="n"/>
      <c r="U31" s="12" t="n"/>
      <c r="V31" s="13" t="n"/>
      <c r="W31" s="14">
        <f>IF(AND(T31="",U31=""),"",T31-IF(Ayarlar!$B$16&gt;0,U31/Ayarlar!$B$16,0))</f>
        <v/>
      </c>
      <c r="X31" s="12" t="n"/>
      <c r="Y31" s="12" t="n"/>
      <c r="Z31" s="13" t="n"/>
      <c r="AA31" s="14">
        <f>IF(AND(X31="",Y31=""),"",X31-IF(Ayarlar!$B$16&gt;0,Y31/Ayarlar!$B$16,0))</f>
        <v/>
      </c>
      <c r="AB31" s="12" t="n"/>
      <c r="AC31" s="12" t="n"/>
      <c r="AD31" s="13" t="n"/>
      <c r="AE31" s="14">
        <f>IF(AND(AB31="",AC31=""),"",AB31-IF(Ayarlar!$B$16&gt;0,AC31/Ayarlar!$B$16,0))</f>
        <v/>
      </c>
      <c r="AF31" s="12" t="n"/>
      <c r="AG31" s="12" t="n"/>
      <c r="AH31" s="13" t="n"/>
      <c r="AI31" s="14">
        <f>IF(AND(AF31="",AG31=""),"",AF31-IF(Ayarlar!$B$16&gt;0,AG31/Ayarlar!$B$16,0))</f>
        <v/>
      </c>
      <c r="AJ31" s="15">
        <f>IF(COUNT(D31,E31,H31,I31,L31,M31,P31,Q31,T31,U31,X31,Y31,AB31,AC31,AF31,AG31)=0,"",D31+H31+L31+P31+T31+X31+AB31+AF31)</f>
        <v/>
      </c>
      <c r="AK31" s="15">
        <f>IF(COUNT(D31,E31,H31,I31,L31,M31,P31,Q31,T31,U31,X31,Y31,AB31,AC31,AF31,AG31)=0,"",E31+I31+M31+Q31+U31+Y31+AC31+AG31)</f>
        <v/>
      </c>
      <c r="AL31" s="15">
        <f>IF(COUNT(D31,E31,H31,I31,L31,M31,P31,Q31,T31,U31,X31,Y31,AB31,AC31,AF31,AG31)=0,"",IF(ISNUMBER(G31),IF(F31="",Ayarlar!$B$4,F31),0)+IF(ISNUMBER(K31),IF(J31="",Ayarlar!$B$5,J31),0)+IF(ISNUMBER(O31),IF(N31="",Ayarlar!$B$6,N31),0)+IF(ISNUMBER(S31),IF(R31="",Ayarlar!$B$7,R31),0)+IF(ISNUMBER(W31),IF(V31="",Ayarlar!$B$8,V31),0)+IF(ISNUMBER(AA31),IF(Z31="",Ayarlar!$B$9,Z31),0)+IF(ISNUMBER(AE31),IF(AD31="",Ayarlar!$B$10,AD31),0)+IF(ISNUMBER(AI31),IF(AH31="",Ayarlar!$B$11,AH31),0))</f>
        <v/>
      </c>
      <c r="AM31" s="15">
        <f>IF(COUNT(D31,E31,H31,I31,L31,M31,P31,Q31,T31,U31,X31,Y31,AB31,AC31,AF31,AG31)=0,"",AL31-AJ31-AK31)</f>
        <v/>
      </c>
      <c r="AN31" s="16">
        <f>IF(COUNT(D31,E31,H31,I31,L31,M31,P31,Q31,T31,U31,X31,Y31,AB31,AC31,AF31,AG31)=0,"",SUM(G31,K31,O31,S31,W31,AA31,AE31,AI31))</f>
        <v/>
      </c>
      <c r="AO31" s="17">
        <f>IF(OR(COUNT(D31,E31,H31,I31,L31,M31,P31,Q31,T31,U31,X31,Y31,AB31,AC31,AF31,AG31)=0,N(AL31)=0),"",AN31/AL31)</f>
        <v/>
      </c>
      <c r="AP31" s="18">
        <f>IF(OR(AO31="",AO30=""),"",AO31-AO30)</f>
        <v/>
      </c>
      <c r="AQ31" s="19">
        <f>IFERROR((IF(Ayarlar!$B$21=Ayarlar!$E$21,N(G31),0)+IF(Ayarlar!$B$22=Ayarlar!$E$21,N(K31),0)+IF(Ayarlar!$B$23=Ayarlar!$E$21,N(O31),0)+IF(Ayarlar!$B$24=Ayarlar!$E$21,N(S31),0)+IF(Ayarlar!$B$25=Ayarlar!$E$21,N(W31),0)+IF(Ayarlar!$B$26=Ayarlar!$E$21,N(AA31),0)+IF(Ayarlar!$B$27=Ayarlar!$E$21,N(AE31),0)+IF(Ayarlar!$B$28=Ayarlar!$E$21,N(AI31),0))/(IF(AND(Ayarlar!$B$21=Ayarlar!$E$21,ISNUMBER(G31)),IF(F31="",Ayarlar!$B$4,F31),0)+IF(AND(Ayarlar!$B$22=Ayarlar!$E$21,ISNUMBER(K31)),IF(J31="",Ayarlar!$B$5,J31),0)+IF(AND(Ayarlar!$B$23=Ayarlar!$E$21,ISNUMBER(O31)),IF(N31="",Ayarlar!$B$6,N31),0)+IF(AND(Ayarlar!$B$24=Ayarlar!$E$21,ISNUMBER(S31)),IF(R31="",Ayarlar!$B$7,R31),0)+IF(AND(Ayarlar!$B$25=Ayarlar!$E$21,ISNUMBER(W31)),IF(V31="",Ayarlar!$B$8,V31),0)+IF(AND(Ayarlar!$B$26=Ayarlar!$E$21,ISNUMBER(AA31)),IF(Z31="",Ayarlar!$B$9,Z31),0)+IF(AND(Ayarlar!$B$27=Ayarlar!$E$21,ISNUMBER(AE31)),IF(AD31="",Ayarlar!$B$10,AD31),0)+IF(AND(Ayarlar!$B$28=Ayarlar!$E$21,ISNUMBER(AI31)),IF(AH31="",Ayarlar!$B$11,AH31),0))*Ayarlar!$F$21,"")</f>
        <v/>
      </c>
      <c r="AR31" s="19">
        <f>IFERROR((IF(Ayarlar!$B$21=Ayarlar!$E$22,N(G31),0)+IF(Ayarlar!$B$22=Ayarlar!$E$22,N(K31),0)+IF(Ayarlar!$B$23=Ayarlar!$E$22,N(O31),0)+IF(Ayarlar!$B$24=Ayarlar!$E$22,N(S31),0)+IF(Ayarlar!$B$25=Ayarlar!$E$22,N(W31),0)+IF(Ayarlar!$B$26=Ayarlar!$E$22,N(AA31),0)+IF(Ayarlar!$B$27=Ayarlar!$E$22,N(AE31),0)+IF(Ayarlar!$B$28=Ayarlar!$E$22,N(AI31),0))/(IF(AND(Ayarlar!$B$21=Ayarlar!$E$22,ISNUMBER(G31)),IF(F31="",Ayarlar!$B$4,F31),0)+IF(AND(Ayarlar!$B$22=Ayarlar!$E$22,ISNUMBER(K31)),IF(J31="",Ayarlar!$B$5,J31),0)+IF(AND(Ayarlar!$B$23=Ayarlar!$E$22,ISNUMBER(O31)),IF(N31="",Ayarlar!$B$6,N31),0)+IF(AND(Ayarlar!$B$24=Ayarlar!$E$22,ISNUMBER(S31)),IF(R31="",Ayarlar!$B$7,R31),0)+IF(AND(Ayarlar!$B$25=Ayarlar!$E$22,ISNUMBER(W31)),IF(V31="",Ayarlar!$B$8,V31),0)+IF(AND(Ayarlar!$B$26=Ayarlar!$E$22,ISNUMBER(AA31)),IF(Z31="",Ayarlar!$B$9,Z31),0)+IF(AND(Ayarlar!$B$27=Ayarlar!$E$22,ISNUMBER(AE31)),IF(AD31="",Ayarlar!$B$10,AD31),0)+IF(AND(Ayarlar!$B$28=Ayarlar!$E$22,ISNUMBER(AI31)),IF(AH31="",Ayarlar!$B$11,AH31),0))*Ayarlar!$F$22,"")</f>
        <v/>
      </c>
      <c r="AS31" s="19">
        <f>IFERROR((IF(Ayarlar!$B$21=Ayarlar!$E$23,N(G31),0)+IF(Ayarlar!$B$22=Ayarlar!$E$23,N(K31),0)+IF(Ayarlar!$B$23=Ayarlar!$E$23,N(O31),0)+IF(Ayarlar!$B$24=Ayarlar!$E$23,N(S31),0)+IF(Ayarlar!$B$25=Ayarlar!$E$23,N(W31),0)+IF(Ayarlar!$B$26=Ayarlar!$E$23,N(AA31),0)+IF(Ayarlar!$B$27=Ayarlar!$E$23,N(AE31),0)+IF(Ayarlar!$B$28=Ayarlar!$E$23,N(AI31),0))/(IF(AND(Ayarlar!$B$21=Ayarlar!$E$23,ISNUMBER(G31)),IF(F31="",Ayarlar!$B$4,F31),0)+IF(AND(Ayarlar!$B$22=Ayarlar!$E$23,ISNUMBER(K31)),IF(J31="",Ayarlar!$B$5,J31),0)+IF(AND(Ayarlar!$B$23=Ayarlar!$E$23,ISNUMBER(O31)),IF(N31="",Ayarlar!$B$6,N31),0)+IF(AND(Ayarlar!$B$24=Ayarlar!$E$23,ISNUMBER(S31)),IF(R31="",Ayarlar!$B$7,R31),0)+IF(AND(Ayarlar!$B$25=Ayarlar!$E$23,ISNUMBER(W31)),IF(V31="",Ayarlar!$B$8,V31),0)+IF(AND(Ayarlar!$B$26=Ayarlar!$E$23,ISNUMBER(AA31)),IF(Z31="",Ayarlar!$B$9,Z31),0)+IF(AND(Ayarlar!$B$27=Ayarlar!$E$23,ISNUMBER(AE31)),IF(AD31="",Ayarlar!$B$10,AD31),0)+IF(AND(Ayarlar!$B$28=Ayarlar!$E$23,ISNUMBER(AI31)),IF(AH31="",Ayarlar!$B$11,AH31),0))*Ayarlar!$F$23,"")</f>
        <v/>
      </c>
      <c r="AT31" s="19">
        <f>IFERROR((IF(Ayarlar!$B$21=Ayarlar!$E$24,N(G31),0)+IF(Ayarlar!$B$22=Ayarlar!$E$24,N(K31),0)+IF(Ayarlar!$B$23=Ayarlar!$E$24,N(O31),0)+IF(Ayarlar!$B$24=Ayarlar!$E$24,N(S31),0)+IF(Ayarlar!$B$25=Ayarlar!$E$24,N(W31),0)+IF(Ayarlar!$B$26=Ayarlar!$E$24,N(AA31),0)+IF(Ayarlar!$B$27=Ayarlar!$E$24,N(AE31),0)+IF(Ayarlar!$B$28=Ayarlar!$E$24,N(AI31),0))/(IF(AND(Ayarlar!$B$21=Ayarlar!$E$24,ISNUMBER(G31)),IF(F31="",Ayarlar!$B$4,F31),0)+IF(AND(Ayarlar!$B$22=Ayarlar!$E$24,ISNUMBER(K31)),IF(J31="",Ayarlar!$B$5,J31),0)+IF(AND(Ayarlar!$B$23=Ayarlar!$E$24,ISNUMBER(O31)),IF(N31="",Ayarlar!$B$6,N31),0)+IF(AND(Ayarlar!$B$24=Ayarlar!$E$24,ISNUMBER(S31)),IF(R31="",Ayarlar!$B$7,R31),0)+IF(AND(Ayarlar!$B$25=Ayarlar!$E$24,ISNUMBER(W31)),IF(V31="",Ayarlar!$B$8,V31),0)+IF(AND(Ayarlar!$B$26=Ayarlar!$E$24,ISNUMBER(AA31)),IF(Z31="",Ayarlar!$B$9,Z31),0)+IF(AND(Ayarlar!$B$27=Ayarlar!$E$24,ISNUMBER(AE31)),IF(AD31="",Ayarlar!$B$10,AD31),0)+IF(AND(Ayarlar!$B$28=Ayarlar!$E$24,ISNUMBER(AI31)),IF(AH31="",Ayarlar!$B$11,AH31),0))*Ayarlar!$F$24,"")</f>
        <v/>
      </c>
      <c r="AU31" s="20">
        <f>IF(COUNT(AQ31,AR31,AS31,AT31)&lt;4,"",Ayarlar!$F$25+AQ31*Ayarlar!$G$21+AR31*Ayarlar!$G$22+AS31*Ayarlar!$G$23+AT31*Ayarlar!$G$24)</f>
        <v/>
      </c>
    </row>
    <row r="32">
      <c r="A32" s="10" t="n">
        <v>28</v>
      </c>
      <c r="B32" s="11" t="n"/>
      <c r="C32" s="4" t="n"/>
      <c r="D32" s="12" t="n"/>
      <c r="E32" s="12" t="n"/>
      <c r="F32" s="13" t="n"/>
      <c r="G32" s="14">
        <f>IF(AND(D32="",E32=""),"",D32-IF(Ayarlar!$B$16&gt;0,E32/Ayarlar!$B$16,0))</f>
        <v/>
      </c>
      <c r="H32" s="12" t="n"/>
      <c r="I32" s="12" t="n"/>
      <c r="J32" s="13" t="n"/>
      <c r="K32" s="14">
        <f>IF(AND(H32="",I32=""),"",H32-IF(Ayarlar!$B$16&gt;0,I32/Ayarlar!$B$16,0))</f>
        <v/>
      </c>
      <c r="L32" s="12" t="n"/>
      <c r="M32" s="12" t="n"/>
      <c r="N32" s="13" t="n"/>
      <c r="O32" s="14">
        <f>IF(AND(L32="",M32=""),"",L32-IF(Ayarlar!$B$16&gt;0,M32/Ayarlar!$B$16,0))</f>
        <v/>
      </c>
      <c r="P32" s="12" t="n"/>
      <c r="Q32" s="12" t="n"/>
      <c r="R32" s="13" t="n"/>
      <c r="S32" s="14">
        <f>IF(AND(P32="",Q32=""),"",P32-IF(Ayarlar!$B$16&gt;0,Q32/Ayarlar!$B$16,0))</f>
        <v/>
      </c>
      <c r="T32" s="12" t="n"/>
      <c r="U32" s="12" t="n"/>
      <c r="V32" s="13" t="n"/>
      <c r="W32" s="14">
        <f>IF(AND(T32="",U32=""),"",T32-IF(Ayarlar!$B$16&gt;0,U32/Ayarlar!$B$16,0))</f>
        <v/>
      </c>
      <c r="X32" s="12" t="n"/>
      <c r="Y32" s="12" t="n"/>
      <c r="Z32" s="13" t="n"/>
      <c r="AA32" s="14">
        <f>IF(AND(X32="",Y32=""),"",X32-IF(Ayarlar!$B$16&gt;0,Y32/Ayarlar!$B$16,0))</f>
        <v/>
      </c>
      <c r="AB32" s="12" t="n"/>
      <c r="AC32" s="12" t="n"/>
      <c r="AD32" s="13" t="n"/>
      <c r="AE32" s="14">
        <f>IF(AND(AB32="",AC32=""),"",AB32-IF(Ayarlar!$B$16&gt;0,AC32/Ayarlar!$B$16,0))</f>
        <v/>
      </c>
      <c r="AF32" s="12" t="n"/>
      <c r="AG32" s="12" t="n"/>
      <c r="AH32" s="13" t="n"/>
      <c r="AI32" s="14">
        <f>IF(AND(AF32="",AG32=""),"",AF32-IF(Ayarlar!$B$16&gt;0,AG32/Ayarlar!$B$16,0))</f>
        <v/>
      </c>
      <c r="AJ32" s="15">
        <f>IF(COUNT(D32,E32,H32,I32,L32,M32,P32,Q32,T32,U32,X32,Y32,AB32,AC32,AF32,AG32)=0,"",D32+H32+L32+P32+T32+X32+AB32+AF32)</f>
        <v/>
      </c>
      <c r="AK32" s="15">
        <f>IF(COUNT(D32,E32,H32,I32,L32,M32,P32,Q32,T32,U32,X32,Y32,AB32,AC32,AF32,AG32)=0,"",E32+I32+M32+Q32+U32+Y32+AC32+AG32)</f>
        <v/>
      </c>
      <c r="AL32" s="15">
        <f>IF(COUNT(D32,E32,H32,I32,L32,M32,P32,Q32,T32,U32,X32,Y32,AB32,AC32,AF32,AG32)=0,"",IF(ISNUMBER(G32),IF(F32="",Ayarlar!$B$4,F32),0)+IF(ISNUMBER(K32),IF(J32="",Ayarlar!$B$5,J32),0)+IF(ISNUMBER(O32),IF(N32="",Ayarlar!$B$6,N32),0)+IF(ISNUMBER(S32),IF(R32="",Ayarlar!$B$7,R32),0)+IF(ISNUMBER(W32),IF(V32="",Ayarlar!$B$8,V32),0)+IF(ISNUMBER(AA32),IF(Z32="",Ayarlar!$B$9,Z32),0)+IF(ISNUMBER(AE32),IF(AD32="",Ayarlar!$B$10,AD32),0)+IF(ISNUMBER(AI32),IF(AH32="",Ayarlar!$B$11,AH32),0))</f>
        <v/>
      </c>
      <c r="AM32" s="15">
        <f>IF(COUNT(D32,E32,H32,I32,L32,M32,P32,Q32,T32,U32,X32,Y32,AB32,AC32,AF32,AG32)=0,"",AL32-AJ32-AK32)</f>
        <v/>
      </c>
      <c r="AN32" s="16">
        <f>IF(COUNT(D32,E32,H32,I32,L32,M32,P32,Q32,T32,U32,X32,Y32,AB32,AC32,AF32,AG32)=0,"",SUM(G32,K32,O32,S32,W32,AA32,AE32,AI32))</f>
        <v/>
      </c>
      <c r="AO32" s="17">
        <f>IF(OR(COUNT(D32,E32,H32,I32,L32,M32,P32,Q32,T32,U32,X32,Y32,AB32,AC32,AF32,AG32)=0,N(AL32)=0),"",AN32/AL32)</f>
        <v/>
      </c>
      <c r="AP32" s="18">
        <f>IF(OR(AO32="",AO31=""),"",AO32-AO31)</f>
        <v/>
      </c>
      <c r="AQ32" s="19">
        <f>IFERROR((IF(Ayarlar!$B$21=Ayarlar!$E$21,N(G32),0)+IF(Ayarlar!$B$22=Ayarlar!$E$21,N(K32),0)+IF(Ayarlar!$B$23=Ayarlar!$E$21,N(O32),0)+IF(Ayarlar!$B$24=Ayarlar!$E$21,N(S32),0)+IF(Ayarlar!$B$25=Ayarlar!$E$21,N(W32),0)+IF(Ayarlar!$B$26=Ayarlar!$E$21,N(AA32),0)+IF(Ayarlar!$B$27=Ayarlar!$E$21,N(AE32),0)+IF(Ayarlar!$B$28=Ayarlar!$E$21,N(AI32),0))/(IF(AND(Ayarlar!$B$21=Ayarlar!$E$21,ISNUMBER(G32)),IF(F32="",Ayarlar!$B$4,F32),0)+IF(AND(Ayarlar!$B$22=Ayarlar!$E$21,ISNUMBER(K32)),IF(J32="",Ayarlar!$B$5,J32),0)+IF(AND(Ayarlar!$B$23=Ayarlar!$E$21,ISNUMBER(O32)),IF(N32="",Ayarlar!$B$6,N32),0)+IF(AND(Ayarlar!$B$24=Ayarlar!$E$21,ISNUMBER(S32)),IF(R32="",Ayarlar!$B$7,R32),0)+IF(AND(Ayarlar!$B$25=Ayarlar!$E$21,ISNUMBER(W32)),IF(V32="",Ayarlar!$B$8,V32),0)+IF(AND(Ayarlar!$B$26=Ayarlar!$E$21,ISNUMBER(AA32)),IF(Z32="",Ayarlar!$B$9,Z32),0)+IF(AND(Ayarlar!$B$27=Ayarlar!$E$21,ISNUMBER(AE32)),IF(AD32="",Ayarlar!$B$10,AD32),0)+IF(AND(Ayarlar!$B$28=Ayarlar!$E$21,ISNUMBER(AI32)),IF(AH32="",Ayarlar!$B$11,AH32),0))*Ayarlar!$F$21,"")</f>
        <v/>
      </c>
      <c r="AR32" s="19">
        <f>IFERROR((IF(Ayarlar!$B$21=Ayarlar!$E$22,N(G32),0)+IF(Ayarlar!$B$22=Ayarlar!$E$22,N(K32),0)+IF(Ayarlar!$B$23=Ayarlar!$E$22,N(O32),0)+IF(Ayarlar!$B$24=Ayarlar!$E$22,N(S32),0)+IF(Ayarlar!$B$25=Ayarlar!$E$22,N(W32),0)+IF(Ayarlar!$B$26=Ayarlar!$E$22,N(AA32),0)+IF(Ayarlar!$B$27=Ayarlar!$E$22,N(AE32),0)+IF(Ayarlar!$B$28=Ayarlar!$E$22,N(AI32),0))/(IF(AND(Ayarlar!$B$21=Ayarlar!$E$22,ISNUMBER(G32)),IF(F32="",Ayarlar!$B$4,F32),0)+IF(AND(Ayarlar!$B$22=Ayarlar!$E$22,ISNUMBER(K32)),IF(J32="",Ayarlar!$B$5,J32),0)+IF(AND(Ayarlar!$B$23=Ayarlar!$E$22,ISNUMBER(O32)),IF(N32="",Ayarlar!$B$6,N32),0)+IF(AND(Ayarlar!$B$24=Ayarlar!$E$22,ISNUMBER(S32)),IF(R32="",Ayarlar!$B$7,R32),0)+IF(AND(Ayarlar!$B$25=Ayarlar!$E$22,ISNUMBER(W32)),IF(V32="",Ayarlar!$B$8,V32),0)+IF(AND(Ayarlar!$B$26=Ayarlar!$E$22,ISNUMBER(AA32)),IF(Z32="",Ayarlar!$B$9,Z32),0)+IF(AND(Ayarlar!$B$27=Ayarlar!$E$22,ISNUMBER(AE32)),IF(AD32="",Ayarlar!$B$10,AD32),0)+IF(AND(Ayarlar!$B$28=Ayarlar!$E$22,ISNUMBER(AI32)),IF(AH32="",Ayarlar!$B$11,AH32),0))*Ayarlar!$F$22,"")</f>
        <v/>
      </c>
      <c r="AS32" s="19">
        <f>IFERROR((IF(Ayarlar!$B$21=Ayarlar!$E$23,N(G32),0)+IF(Ayarlar!$B$22=Ayarlar!$E$23,N(K32),0)+IF(Ayarlar!$B$23=Ayarlar!$E$23,N(O32),0)+IF(Ayarlar!$B$24=Ayarlar!$E$23,N(S32),0)+IF(Ayarlar!$B$25=Ayarlar!$E$23,N(W32),0)+IF(Ayarlar!$B$26=Ayarlar!$E$23,N(AA32),0)+IF(Ayarlar!$B$27=Ayarlar!$E$23,N(AE32),0)+IF(Ayarlar!$B$28=Ayarlar!$E$23,N(AI32),0))/(IF(AND(Ayarlar!$B$21=Ayarlar!$E$23,ISNUMBER(G32)),IF(F32="",Ayarlar!$B$4,F32),0)+IF(AND(Ayarlar!$B$22=Ayarlar!$E$23,ISNUMBER(K32)),IF(J32="",Ayarlar!$B$5,J32),0)+IF(AND(Ayarlar!$B$23=Ayarlar!$E$23,ISNUMBER(O32)),IF(N32="",Ayarlar!$B$6,N32),0)+IF(AND(Ayarlar!$B$24=Ayarlar!$E$23,ISNUMBER(S32)),IF(R32="",Ayarlar!$B$7,R32),0)+IF(AND(Ayarlar!$B$25=Ayarlar!$E$23,ISNUMBER(W32)),IF(V32="",Ayarlar!$B$8,V32),0)+IF(AND(Ayarlar!$B$26=Ayarlar!$E$23,ISNUMBER(AA32)),IF(Z32="",Ayarlar!$B$9,Z32),0)+IF(AND(Ayarlar!$B$27=Ayarlar!$E$23,ISNUMBER(AE32)),IF(AD32="",Ayarlar!$B$10,AD32),0)+IF(AND(Ayarlar!$B$28=Ayarlar!$E$23,ISNUMBER(AI32)),IF(AH32="",Ayarlar!$B$11,AH32),0))*Ayarlar!$F$23,"")</f>
        <v/>
      </c>
      <c r="AT32" s="19">
        <f>IFERROR((IF(Ayarlar!$B$21=Ayarlar!$E$24,N(G32),0)+IF(Ayarlar!$B$22=Ayarlar!$E$24,N(K32),0)+IF(Ayarlar!$B$23=Ayarlar!$E$24,N(O32),0)+IF(Ayarlar!$B$24=Ayarlar!$E$24,N(S32),0)+IF(Ayarlar!$B$25=Ayarlar!$E$24,N(W32),0)+IF(Ayarlar!$B$26=Ayarlar!$E$24,N(AA32),0)+IF(Ayarlar!$B$27=Ayarlar!$E$24,N(AE32),0)+IF(Ayarlar!$B$28=Ayarlar!$E$24,N(AI32),0))/(IF(AND(Ayarlar!$B$21=Ayarlar!$E$24,ISNUMBER(G32)),IF(F32="",Ayarlar!$B$4,F32),0)+IF(AND(Ayarlar!$B$22=Ayarlar!$E$24,ISNUMBER(K32)),IF(J32="",Ayarlar!$B$5,J32),0)+IF(AND(Ayarlar!$B$23=Ayarlar!$E$24,ISNUMBER(O32)),IF(N32="",Ayarlar!$B$6,N32),0)+IF(AND(Ayarlar!$B$24=Ayarlar!$E$24,ISNUMBER(S32)),IF(R32="",Ayarlar!$B$7,R32),0)+IF(AND(Ayarlar!$B$25=Ayarlar!$E$24,ISNUMBER(W32)),IF(V32="",Ayarlar!$B$8,V32),0)+IF(AND(Ayarlar!$B$26=Ayarlar!$E$24,ISNUMBER(AA32)),IF(Z32="",Ayarlar!$B$9,Z32),0)+IF(AND(Ayarlar!$B$27=Ayarlar!$E$24,ISNUMBER(AE32)),IF(AD32="",Ayarlar!$B$10,AD32),0)+IF(AND(Ayarlar!$B$28=Ayarlar!$E$24,ISNUMBER(AI32)),IF(AH32="",Ayarlar!$B$11,AH32),0))*Ayarlar!$F$24,"")</f>
        <v/>
      </c>
      <c r="AU32" s="20">
        <f>IF(COUNT(AQ32,AR32,AS32,AT32)&lt;4,"",Ayarlar!$F$25+AQ32*Ayarlar!$G$21+AR32*Ayarlar!$G$22+AS32*Ayarlar!$G$23+AT32*Ayarlar!$G$24)</f>
        <v/>
      </c>
    </row>
    <row r="33">
      <c r="A33" s="10" t="n">
        <v>29</v>
      </c>
      <c r="B33" s="11" t="n"/>
      <c r="C33" s="4" t="n"/>
      <c r="D33" s="12" t="n"/>
      <c r="E33" s="12" t="n"/>
      <c r="F33" s="13" t="n"/>
      <c r="G33" s="14">
        <f>IF(AND(D33="",E33=""),"",D33-IF(Ayarlar!$B$16&gt;0,E33/Ayarlar!$B$16,0))</f>
        <v/>
      </c>
      <c r="H33" s="12" t="n"/>
      <c r="I33" s="12" t="n"/>
      <c r="J33" s="13" t="n"/>
      <c r="K33" s="14">
        <f>IF(AND(H33="",I33=""),"",H33-IF(Ayarlar!$B$16&gt;0,I33/Ayarlar!$B$16,0))</f>
        <v/>
      </c>
      <c r="L33" s="12" t="n"/>
      <c r="M33" s="12" t="n"/>
      <c r="N33" s="13" t="n"/>
      <c r="O33" s="14">
        <f>IF(AND(L33="",M33=""),"",L33-IF(Ayarlar!$B$16&gt;0,M33/Ayarlar!$B$16,0))</f>
        <v/>
      </c>
      <c r="P33" s="12" t="n"/>
      <c r="Q33" s="12" t="n"/>
      <c r="R33" s="13" t="n"/>
      <c r="S33" s="14">
        <f>IF(AND(P33="",Q33=""),"",P33-IF(Ayarlar!$B$16&gt;0,Q33/Ayarlar!$B$16,0))</f>
        <v/>
      </c>
      <c r="T33" s="12" t="n"/>
      <c r="U33" s="12" t="n"/>
      <c r="V33" s="13" t="n"/>
      <c r="W33" s="14">
        <f>IF(AND(T33="",U33=""),"",T33-IF(Ayarlar!$B$16&gt;0,U33/Ayarlar!$B$16,0))</f>
        <v/>
      </c>
      <c r="X33" s="12" t="n"/>
      <c r="Y33" s="12" t="n"/>
      <c r="Z33" s="13" t="n"/>
      <c r="AA33" s="14">
        <f>IF(AND(X33="",Y33=""),"",X33-IF(Ayarlar!$B$16&gt;0,Y33/Ayarlar!$B$16,0))</f>
        <v/>
      </c>
      <c r="AB33" s="12" t="n"/>
      <c r="AC33" s="12" t="n"/>
      <c r="AD33" s="13" t="n"/>
      <c r="AE33" s="14">
        <f>IF(AND(AB33="",AC33=""),"",AB33-IF(Ayarlar!$B$16&gt;0,AC33/Ayarlar!$B$16,0))</f>
        <v/>
      </c>
      <c r="AF33" s="12" t="n"/>
      <c r="AG33" s="12" t="n"/>
      <c r="AH33" s="13" t="n"/>
      <c r="AI33" s="14">
        <f>IF(AND(AF33="",AG33=""),"",AF33-IF(Ayarlar!$B$16&gt;0,AG33/Ayarlar!$B$16,0))</f>
        <v/>
      </c>
      <c r="AJ33" s="15">
        <f>IF(COUNT(D33,E33,H33,I33,L33,M33,P33,Q33,T33,U33,X33,Y33,AB33,AC33,AF33,AG33)=0,"",D33+H33+L33+P33+T33+X33+AB33+AF33)</f>
        <v/>
      </c>
      <c r="AK33" s="15">
        <f>IF(COUNT(D33,E33,H33,I33,L33,M33,P33,Q33,T33,U33,X33,Y33,AB33,AC33,AF33,AG33)=0,"",E33+I33+M33+Q33+U33+Y33+AC33+AG33)</f>
        <v/>
      </c>
      <c r="AL33" s="15">
        <f>IF(COUNT(D33,E33,H33,I33,L33,M33,P33,Q33,T33,U33,X33,Y33,AB33,AC33,AF33,AG33)=0,"",IF(ISNUMBER(G33),IF(F33="",Ayarlar!$B$4,F33),0)+IF(ISNUMBER(K33),IF(J33="",Ayarlar!$B$5,J33),0)+IF(ISNUMBER(O33),IF(N33="",Ayarlar!$B$6,N33),0)+IF(ISNUMBER(S33),IF(R33="",Ayarlar!$B$7,R33),0)+IF(ISNUMBER(W33),IF(V33="",Ayarlar!$B$8,V33),0)+IF(ISNUMBER(AA33),IF(Z33="",Ayarlar!$B$9,Z33),0)+IF(ISNUMBER(AE33),IF(AD33="",Ayarlar!$B$10,AD33),0)+IF(ISNUMBER(AI33),IF(AH33="",Ayarlar!$B$11,AH33),0))</f>
        <v/>
      </c>
      <c r="AM33" s="15">
        <f>IF(COUNT(D33,E33,H33,I33,L33,M33,P33,Q33,T33,U33,X33,Y33,AB33,AC33,AF33,AG33)=0,"",AL33-AJ33-AK33)</f>
        <v/>
      </c>
      <c r="AN33" s="16">
        <f>IF(COUNT(D33,E33,H33,I33,L33,M33,P33,Q33,T33,U33,X33,Y33,AB33,AC33,AF33,AG33)=0,"",SUM(G33,K33,O33,S33,W33,AA33,AE33,AI33))</f>
        <v/>
      </c>
      <c r="AO33" s="17">
        <f>IF(OR(COUNT(D33,E33,H33,I33,L33,M33,P33,Q33,T33,U33,X33,Y33,AB33,AC33,AF33,AG33)=0,N(AL33)=0),"",AN33/AL33)</f>
        <v/>
      </c>
      <c r="AP33" s="18">
        <f>IF(OR(AO33="",AO32=""),"",AO33-AO32)</f>
        <v/>
      </c>
      <c r="AQ33" s="19">
        <f>IFERROR((IF(Ayarlar!$B$21=Ayarlar!$E$21,N(G33),0)+IF(Ayarlar!$B$22=Ayarlar!$E$21,N(K33),0)+IF(Ayarlar!$B$23=Ayarlar!$E$21,N(O33),0)+IF(Ayarlar!$B$24=Ayarlar!$E$21,N(S33),0)+IF(Ayarlar!$B$25=Ayarlar!$E$21,N(W33),0)+IF(Ayarlar!$B$26=Ayarlar!$E$21,N(AA33),0)+IF(Ayarlar!$B$27=Ayarlar!$E$21,N(AE33),0)+IF(Ayarlar!$B$28=Ayarlar!$E$21,N(AI33),0))/(IF(AND(Ayarlar!$B$21=Ayarlar!$E$21,ISNUMBER(G33)),IF(F33="",Ayarlar!$B$4,F33),0)+IF(AND(Ayarlar!$B$22=Ayarlar!$E$21,ISNUMBER(K33)),IF(J33="",Ayarlar!$B$5,J33),0)+IF(AND(Ayarlar!$B$23=Ayarlar!$E$21,ISNUMBER(O33)),IF(N33="",Ayarlar!$B$6,N33),0)+IF(AND(Ayarlar!$B$24=Ayarlar!$E$21,ISNUMBER(S33)),IF(R33="",Ayarlar!$B$7,R33),0)+IF(AND(Ayarlar!$B$25=Ayarlar!$E$21,ISNUMBER(W33)),IF(V33="",Ayarlar!$B$8,V33),0)+IF(AND(Ayarlar!$B$26=Ayarlar!$E$21,ISNUMBER(AA33)),IF(Z33="",Ayarlar!$B$9,Z33),0)+IF(AND(Ayarlar!$B$27=Ayarlar!$E$21,ISNUMBER(AE33)),IF(AD33="",Ayarlar!$B$10,AD33),0)+IF(AND(Ayarlar!$B$28=Ayarlar!$E$21,ISNUMBER(AI33)),IF(AH33="",Ayarlar!$B$11,AH33),0))*Ayarlar!$F$21,"")</f>
        <v/>
      </c>
      <c r="AR33" s="19">
        <f>IFERROR((IF(Ayarlar!$B$21=Ayarlar!$E$22,N(G33),0)+IF(Ayarlar!$B$22=Ayarlar!$E$22,N(K33),0)+IF(Ayarlar!$B$23=Ayarlar!$E$22,N(O33),0)+IF(Ayarlar!$B$24=Ayarlar!$E$22,N(S33),0)+IF(Ayarlar!$B$25=Ayarlar!$E$22,N(W33),0)+IF(Ayarlar!$B$26=Ayarlar!$E$22,N(AA33),0)+IF(Ayarlar!$B$27=Ayarlar!$E$22,N(AE33),0)+IF(Ayarlar!$B$28=Ayarlar!$E$22,N(AI33),0))/(IF(AND(Ayarlar!$B$21=Ayarlar!$E$22,ISNUMBER(G33)),IF(F33="",Ayarlar!$B$4,F33),0)+IF(AND(Ayarlar!$B$22=Ayarlar!$E$22,ISNUMBER(K33)),IF(J33="",Ayarlar!$B$5,J33),0)+IF(AND(Ayarlar!$B$23=Ayarlar!$E$22,ISNUMBER(O33)),IF(N33="",Ayarlar!$B$6,N33),0)+IF(AND(Ayarlar!$B$24=Ayarlar!$E$22,ISNUMBER(S33)),IF(R33="",Ayarlar!$B$7,R33),0)+IF(AND(Ayarlar!$B$25=Ayarlar!$E$22,ISNUMBER(W33)),IF(V33="",Ayarlar!$B$8,V33),0)+IF(AND(Ayarlar!$B$26=Ayarlar!$E$22,ISNUMBER(AA33)),IF(Z33="",Ayarlar!$B$9,Z33),0)+IF(AND(Ayarlar!$B$27=Ayarlar!$E$22,ISNUMBER(AE33)),IF(AD33="",Ayarlar!$B$10,AD33),0)+IF(AND(Ayarlar!$B$28=Ayarlar!$E$22,ISNUMBER(AI33)),IF(AH33="",Ayarlar!$B$11,AH33),0))*Ayarlar!$F$22,"")</f>
        <v/>
      </c>
      <c r="AS33" s="19">
        <f>IFERROR((IF(Ayarlar!$B$21=Ayarlar!$E$23,N(G33),0)+IF(Ayarlar!$B$22=Ayarlar!$E$23,N(K33),0)+IF(Ayarlar!$B$23=Ayarlar!$E$23,N(O33),0)+IF(Ayarlar!$B$24=Ayarlar!$E$23,N(S33),0)+IF(Ayarlar!$B$25=Ayarlar!$E$23,N(W33),0)+IF(Ayarlar!$B$26=Ayarlar!$E$23,N(AA33),0)+IF(Ayarlar!$B$27=Ayarlar!$E$23,N(AE33),0)+IF(Ayarlar!$B$28=Ayarlar!$E$23,N(AI33),0))/(IF(AND(Ayarlar!$B$21=Ayarlar!$E$23,ISNUMBER(G33)),IF(F33="",Ayarlar!$B$4,F33),0)+IF(AND(Ayarlar!$B$22=Ayarlar!$E$23,ISNUMBER(K33)),IF(J33="",Ayarlar!$B$5,J33),0)+IF(AND(Ayarlar!$B$23=Ayarlar!$E$23,ISNUMBER(O33)),IF(N33="",Ayarlar!$B$6,N33),0)+IF(AND(Ayarlar!$B$24=Ayarlar!$E$23,ISNUMBER(S33)),IF(R33="",Ayarlar!$B$7,R33),0)+IF(AND(Ayarlar!$B$25=Ayarlar!$E$23,ISNUMBER(W33)),IF(V33="",Ayarlar!$B$8,V33),0)+IF(AND(Ayarlar!$B$26=Ayarlar!$E$23,ISNUMBER(AA33)),IF(Z33="",Ayarlar!$B$9,Z33),0)+IF(AND(Ayarlar!$B$27=Ayarlar!$E$23,ISNUMBER(AE33)),IF(AD33="",Ayarlar!$B$10,AD33),0)+IF(AND(Ayarlar!$B$28=Ayarlar!$E$23,ISNUMBER(AI33)),IF(AH33="",Ayarlar!$B$11,AH33),0))*Ayarlar!$F$23,"")</f>
        <v/>
      </c>
      <c r="AT33" s="19">
        <f>IFERROR((IF(Ayarlar!$B$21=Ayarlar!$E$24,N(G33),0)+IF(Ayarlar!$B$22=Ayarlar!$E$24,N(K33),0)+IF(Ayarlar!$B$23=Ayarlar!$E$24,N(O33),0)+IF(Ayarlar!$B$24=Ayarlar!$E$24,N(S33),0)+IF(Ayarlar!$B$25=Ayarlar!$E$24,N(W33),0)+IF(Ayarlar!$B$26=Ayarlar!$E$24,N(AA33),0)+IF(Ayarlar!$B$27=Ayarlar!$E$24,N(AE33),0)+IF(Ayarlar!$B$28=Ayarlar!$E$24,N(AI33),0))/(IF(AND(Ayarlar!$B$21=Ayarlar!$E$24,ISNUMBER(G33)),IF(F33="",Ayarlar!$B$4,F33),0)+IF(AND(Ayarlar!$B$22=Ayarlar!$E$24,ISNUMBER(K33)),IF(J33="",Ayarlar!$B$5,J33),0)+IF(AND(Ayarlar!$B$23=Ayarlar!$E$24,ISNUMBER(O33)),IF(N33="",Ayarlar!$B$6,N33),0)+IF(AND(Ayarlar!$B$24=Ayarlar!$E$24,ISNUMBER(S33)),IF(R33="",Ayarlar!$B$7,R33),0)+IF(AND(Ayarlar!$B$25=Ayarlar!$E$24,ISNUMBER(W33)),IF(V33="",Ayarlar!$B$8,V33),0)+IF(AND(Ayarlar!$B$26=Ayarlar!$E$24,ISNUMBER(AA33)),IF(Z33="",Ayarlar!$B$9,Z33),0)+IF(AND(Ayarlar!$B$27=Ayarlar!$E$24,ISNUMBER(AE33)),IF(AD33="",Ayarlar!$B$10,AD33),0)+IF(AND(Ayarlar!$B$28=Ayarlar!$E$24,ISNUMBER(AI33)),IF(AH33="",Ayarlar!$B$11,AH33),0))*Ayarlar!$F$24,"")</f>
        <v/>
      </c>
      <c r="AU33" s="20">
        <f>IF(COUNT(AQ33,AR33,AS33,AT33)&lt;4,"",Ayarlar!$F$25+AQ33*Ayarlar!$G$21+AR33*Ayarlar!$G$22+AS33*Ayarlar!$G$23+AT33*Ayarlar!$G$24)</f>
        <v/>
      </c>
    </row>
    <row r="34">
      <c r="A34" s="10" t="n">
        <v>30</v>
      </c>
      <c r="B34" s="11" t="n"/>
      <c r="C34" s="4" t="n"/>
      <c r="D34" s="12" t="n"/>
      <c r="E34" s="12" t="n"/>
      <c r="F34" s="13" t="n"/>
      <c r="G34" s="14">
        <f>IF(AND(D34="",E34=""),"",D34-IF(Ayarlar!$B$16&gt;0,E34/Ayarlar!$B$16,0))</f>
        <v/>
      </c>
      <c r="H34" s="12" t="n"/>
      <c r="I34" s="12" t="n"/>
      <c r="J34" s="13" t="n"/>
      <c r="K34" s="14">
        <f>IF(AND(H34="",I34=""),"",H34-IF(Ayarlar!$B$16&gt;0,I34/Ayarlar!$B$16,0))</f>
        <v/>
      </c>
      <c r="L34" s="12" t="n"/>
      <c r="M34" s="12" t="n"/>
      <c r="N34" s="13" t="n"/>
      <c r="O34" s="14">
        <f>IF(AND(L34="",M34=""),"",L34-IF(Ayarlar!$B$16&gt;0,M34/Ayarlar!$B$16,0))</f>
        <v/>
      </c>
      <c r="P34" s="12" t="n"/>
      <c r="Q34" s="12" t="n"/>
      <c r="R34" s="13" t="n"/>
      <c r="S34" s="14">
        <f>IF(AND(P34="",Q34=""),"",P34-IF(Ayarlar!$B$16&gt;0,Q34/Ayarlar!$B$16,0))</f>
        <v/>
      </c>
      <c r="T34" s="12" t="n"/>
      <c r="U34" s="12" t="n"/>
      <c r="V34" s="13" t="n"/>
      <c r="W34" s="14">
        <f>IF(AND(T34="",U34=""),"",T34-IF(Ayarlar!$B$16&gt;0,U34/Ayarlar!$B$16,0))</f>
        <v/>
      </c>
      <c r="X34" s="12" t="n"/>
      <c r="Y34" s="12" t="n"/>
      <c r="Z34" s="13" t="n"/>
      <c r="AA34" s="14">
        <f>IF(AND(X34="",Y34=""),"",X34-IF(Ayarlar!$B$16&gt;0,Y34/Ayarlar!$B$16,0))</f>
        <v/>
      </c>
      <c r="AB34" s="12" t="n"/>
      <c r="AC34" s="12" t="n"/>
      <c r="AD34" s="13" t="n"/>
      <c r="AE34" s="14">
        <f>IF(AND(AB34="",AC34=""),"",AB34-IF(Ayarlar!$B$16&gt;0,AC34/Ayarlar!$B$16,0))</f>
        <v/>
      </c>
      <c r="AF34" s="12" t="n"/>
      <c r="AG34" s="12" t="n"/>
      <c r="AH34" s="13" t="n"/>
      <c r="AI34" s="14">
        <f>IF(AND(AF34="",AG34=""),"",AF34-IF(Ayarlar!$B$16&gt;0,AG34/Ayarlar!$B$16,0))</f>
        <v/>
      </c>
      <c r="AJ34" s="15">
        <f>IF(COUNT(D34,E34,H34,I34,L34,M34,P34,Q34,T34,U34,X34,Y34,AB34,AC34,AF34,AG34)=0,"",D34+H34+L34+P34+T34+X34+AB34+AF34)</f>
        <v/>
      </c>
      <c r="AK34" s="15">
        <f>IF(COUNT(D34,E34,H34,I34,L34,M34,P34,Q34,T34,U34,X34,Y34,AB34,AC34,AF34,AG34)=0,"",E34+I34+M34+Q34+U34+Y34+AC34+AG34)</f>
        <v/>
      </c>
      <c r="AL34" s="15">
        <f>IF(COUNT(D34,E34,H34,I34,L34,M34,P34,Q34,T34,U34,X34,Y34,AB34,AC34,AF34,AG34)=0,"",IF(ISNUMBER(G34),IF(F34="",Ayarlar!$B$4,F34),0)+IF(ISNUMBER(K34),IF(J34="",Ayarlar!$B$5,J34),0)+IF(ISNUMBER(O34),IF(N34="",Ayarlar!$B$6,N34),0)+IF(ISNUMBER(S34),IF(R34="",Ayarlar!$B$7,R34),0)+IF(ISNUMBER(W34),IF(V34="",Ayarlar!$B$8,V34),0)+IF(ISNUMBER(AA34),IF(Z34="",Ayarlar!$B$9,Z34),0)+IF(ISNUMBER(AE34),IF(AD34="",Ayarlar!$B$10,AD34),0)+IF(ISNUMBER(AI34),IF(AH34="",Ayarlar!$B$11,AH34),0))</f>
        <v/>
      </c>
      <c r="AM34" s="15">
        <f>IF(COUNT(D34,E34,H34,I34,L34,M34,P34,Q34,T34,U34,X34,Y34,AB34,AC34,AF34,AG34)=0,"",AL34-AJ34-AK34)</f>
        <v/>
      </c>
      <c r="AN34" s="16">
        <f>IF(COUNT(D34,E34,H34,I34,L34,M34,P34,Q34,T34,U34,X34,Y34,AB34,AC34,AF34,AG34)=0,"",SUM(G34,K34,O34,S34,W34,AA34,AE34,AI34))</f>
        <v/>
      </c>
      <c r="AO34" s="17">
        <f>IF(OR(COUNT(D34,E34,H34,I34,L34,M34,P34,Q34,T34,U34,X34,Y34,AB34,AC34,AF34,AG34)=0,N(AL34)=0),"",AN34/AL34)</f>
        <v/>
      </c>
      <c r="AP34" s="18">
        <f>IF(OR(AO34="",AO33=""),"",AO34-AO33)</f>
        <v/>
      </c>
      <c r="AQ34" s="19">
        <f>IFERROR((IF(Ayarlar!$B$21=Ayarlar!$E$21,N(G34),0)+IF(Ayarlar!$B$22=Ayarlar!$E$21,N(K34),0)+IF(Ayarlar!$B$23=Ayarlar!$E$21,N(O34),0)+IF(Ayarlar!$B$24=Ayarlar!$E$21,N(S34),0)+IF(Ayarlar!$B$25=Ayarlar!$E$21,N(W34),0)+IF(Ayarlar!$B$26=Ayarlar!$E$21,N(AA34),0)+IF(Ayarlar!$B$27=Ayarlar!$E$21,N(AE34),0)+IF(Ayarlar!$B$28=Ayarlar!$E$21,N(AI34),0))/(IF(AND(Ayarlar!$B$21=Ayarlar!$E$21,ISNUMBER(G34)),IF(F34="",Ayarlar!$B$4,F34),0)+IF(AND(Ayarlar!$B$22=Ayarlar!$E$21,ISNUMBER(K34)),IF(J34="",Ayarlar!$B$5,J34),0)+IF(AND(Ayarlar!$B$23=Ayarlar!$E$21,ISNUMBER(O34)),IF(N34="",Ayarlar!$B$6,N34),0)+IF(AND(Ayarlar!$B$24=Ayarlar!$E$21,ISNUMBER(S34)),IF(R34="",Ayarlar!$B$7,R34),0)+IF(AND(Ayarlar!$B$25=Ayarlar!$E$21,ISNUMBER(W34)),IF(V34="",Ayarlar!$B$8,V34),0)+IF(AND(Ayarlar!$B$26=Ayarlar!$E$21,ISNUMBER(AA34)),IF(Z34="",Ayarlar!$B$9,Z34),0)+IF(AND(Ayarlar!$B$27=Ayarlar!$E$21,ISNUMBER(AE34)),IF(AD34="",Ayarlar!$B$10,AD34),0)+IF(AND(Ayarlar!$B$28=Ayarlar!$E$21,ISNUMBER(AI34)),IF(AH34="",Ayarlar!$B$11,AH34),0))*Ayarlar!$F$21,"")</f>
        <v/>
      </c>
      <c r="AR34" s="19">
        <f>IFERROR((IF(Ayarlar!$B$21=Ayarlar!$E$22,N(G34),0)+IF(Ayarlar!$B$22=Ayarlar!$E$22,N(K34),0)+IF(Ayarlar!$B$23=Ayarlar!$E$22,N(O34),0)+IF(Ayarlar!$B$24=Ayarlar!$E$22,N(S34),0)+IF(Ayarlar!$B$25=Ayarlar!$E$22,N(W34),0)+IF(Ayarlar!$B$26=Ayarlar!$E$22,N(AA34),0)+IF(Ayarlar!$B$27=Ayarlar!$E$22,N(AE34),0)+IF(Ayarlar!$B$28=Ayarlar!$E$22,N(AI34),0))/(IF(AND(Ayarlar!$B$21=Ayarlar!$E$22,ISNUMBER(G34)),IF(F34="",Ayarlar!$B$4,F34),0)+IF(AND(Ayarlar!$B$22=Ayarlar!$E$22,ISNUMBER(K34)),IF(J34="",Ayarlar!$B$5,J34),0)+IF(AND(Ayarlar!$B$23=Ayarlar!$E$22,ISNUMBER(O34)),IF(N34="",Ayarlar!$B$6,N34),0)+IF(AND(Ayarlar!$B$24=Ayarlar!$E$22,ISNUMBER(S34)),IF(R34="",Ayarlar!$B$7,R34),0)+IF(AND(Ayarlar!$B$25=Ayarlar!$E$22,ISNUMBER(W34)),IF(V34="",Ayarlar!$B$8,V34),0)+IF(AND(Ayarlar!$B$26=Ayarlar!$E$22,ISNUMBER(AA34)),IF(Z34="",Ayarlar!$B$9,Z34),0)+IF(AND(Ayarlar!$B$27=Ayarlar!$E$22,ISNUMBER(AE34)),IF(AD34="",Ayarlar!$B$10,AD34),0)+IF(AND(Ayarlar!$B$28=Ayarlar!$E$22,ISNUMBER(AI34)),IF(AH34="",Ayarlar!$B$11,AH34),0))*Ayarlar!$F$22,"")</f>
        <v/>
      </c>
      <c r="AS34" s="19">
        <f>IFERROR((IF(Ayarlar!$B$21=Ayarlar!$E$23,N(G34),0)+IF(Ayarlar!$B$22=Ayarlar!$E$23,N(K34),0)+IF(Ayarlar!$B$23=Ayarlar!$E$23,N(O34),0)+IF(Ayarlar!$B$24=Ayarlar!$E$23,N(S34),0)+IF(Ayarlar!$B$25=Ayarlar!$E$23,N(W34),0)+IF(Ayarlar!$B$26=Ayarlar!$E$23,N(AA34),0)+IF(Ayarlar!$B$27=Ayarlar!$E$23,N(AE34),0)+IF(Ayarlar!$B$28=Ayarlar!$E$23,N(AI34),0))/(IF(AND(Ayarlar!$B$21=Ayarlar!$E$23,ISNUMBER(G34)),IF(F34="",Ayarlar!$B$4,F34),0)+IF(AND(Ayarlar!$B$22=Ayarlar!$E$23,ISNUMBER(K34)),IF(J34="",Ayarlar!$B$5,J34),0)+IF(AND(Ayarlar!$B$23=Ayarlar!$E$23,ISNUMBER(O34)),IF(N34="",Ayarlar!$B$6,N34),0)+IF(AND(Ayarlar!$B$24=Ayarlar!$E$23,ISNUMBER(S34)),IF(R34="",Ayarlar!$B$7,R34),0)+IF(AND(Ayarlar!$B$25=Ayarlar!$E$23,ISNUMBER(W34)),IF(V34="",Ayarlar!$B$8,V34),0)+IF(AND(Ayarlar!$B$26=Ayarlar!$E$23,ISNUMBER(AA34)),IF(Z34="",Ayarlar!$B$9,Z34),0)+IF(AND(Ayarlar!$B$27=Ayarlar!$E$23,ISNUMBER(AE34)),IF(AD34="",Ayarlar!$B$10,AD34),0)+IF(AND(Ayarlar!$B$28=Ayarlar!$E$23,ISNUMBER(AI34)),IF(AH34="",Ayarlar!$B$11,AH34),0))*Ayarlar!$F$23,"")</f>
        <v/>
      </c>
      <c r="AT34" s="19">
        <f>IFERROR((IF(Ayarlar!$B$21=Ayarlar!$E$24,N(G34),0)+IF(Ayarlar!$B$22=Ayarlar!$E$24,N(K34),0)+IF(Ayarlar!$B$23=Ayarlar!$E$24,N(O34),0)+IF(Ayarlar!$B$24=Ayarlar!$E$24,N(S34),0)+IF(Ayarlar!$B$25=Ayarlar!$E$24,N(W34),0)+IF(Ayarlar!$B$26=Ayarlar!$E$24,N(AA34),0)+IF(Ayarlar!$B$27=Ayarlar!$E$24,N(AE34),0)+IF(Ayarlar!$B$28=Ayarlar!$E$24,N(AI34),0))/(IF(AND(Ayarlar!$B$21=Ayarlar!$E$24,ISNUMBER(G34)),IF(F34="",Ayarlar!$B$4,F34),0)+IF(AND(Ayarlar!$B$22=Ayarlar!$E$24,ISNUMBER(K34)),IF(J34="",Ayarlar!$B$5,J34),0)+IF(AND(Ayarlar!$B$23=Ayarlar!$E$24,ISNUMBER(O34)),IF(N34="",Ayarlar!$B$6,N34),0)+IF(AND(Ayarlar!$B$24=Ayarlar!$E$24,ISNUMBER(S34)),IF(R34="",Ayarlar!$B$7,R34),0)+IF(AND(Ayarlar!$B$25=Ayarlar!$E$24,ISNUMBER(W34)),IF(V34="",Ayarlar!$B$8,V34),0)+IF(AND(Ayarlar!$B$26=Ayarlar!$E$24,ISNUMBER(AA34)),IF(Z34="",Ayarlar!$B$9,Z34),0)+IF(AND(Ayarlar!$B$27=Ayarlar!$E$24,ISNUMBER(AE34)),IF(AD34="",Ayarlar!$B$10,AD34),0)+IF(AND(Ayarlar!$B$28=Ayarlar!$E$24,ISNUMBER(AI34)),IF(AH34="",Ayarlar!$B$11,AH34),0))*Ayarlar!$F$24,"")</f>
        <v/>
      </c>
      <c r="AU34" s="20">
        <f>IF(COUNT(AQ34,AR34,AS34,AT34)&lt;4,"",Ayarlar!$F$25+AQ34*Ayarlar!$G$21+AR34*Ayarlar!$G$22+AS34*Ayarlar!$G$23+AT34*Ayarlar!$G$24)</f>
        <v/>
      </c>
    </row>
    <row r="35">
      <c r="A35" s="10" t="n">
        <v>31</v>
      </c>
      <c r="B35" s="11" t="n"/>
      <c r="C35" s="4" t="n"/>
      <c r="D35" s="12" t="n"/>
      <c r="E35" s="12" t="n"/>
      <c r="F35" s="13" t="n"/>
      <c r="G35" s="14">
        <f>IF(AND(D35="",E35=""),"",D35-IF(Ayarlar!$B$16&gt;0,E35/Ayarlar!$B$16,0))</f>
        <v/>
      </c>
      <c r="H35" s="12" t="n"/>
      <c r="I35" s="12" t="n"/>
      <c r="J35" s="13" t="n"/>
      <c r="K35" s="14">
        <f>IF(AND(H35="",I35=""),"",H35-IF(Ayarlar!$B$16&gt;0,I35/Ayarlar!$B$16,0))</f>
        <v/>
      </c>
      <c r="L35" s="12" t="n"/>
      <c r="M35" s="12" t="n"/>
      <c r="N35" s="13" t="n"/>
      <c r="O35" s="14">
        <f>IF(AND(L35="",M35=""),"",L35-IF(Ayarlar!$B$16&gt;0,M35/Ayarlar!$B$16,0))</f>
        <v/>
      </c>
      <c r="P35" s="12" t="n"/>
      <c r="Q35" s="12" t="n"/>
      <c r="R35" s="13" t="n"/>
      <c r="S35" s="14">
        <f>IF(AND(P35="",Q35=""),"",P35-IF(Ayarlar!$B$16&gt;0,Q35/Ayarlar!$B$16,0))</f>
        <v/>
      </c>
      <c r="T35" s="12" t="n"/>
      <c r="U35" s="12" t="n"/>
      <c r="V35" s="13" t="n"/>
      <c r="W35" s="14">
        <f>IF(AND(T35="",U35=""),"",T35-IF(Ayarlar!$B$16&gt;0,U35/Ayarlar!$B$16,0))</f>
        <v/>
      </c>
      <c r="X35" s="12" t="n"/>
      <c r="Y35" s="12" t="n"/>
      <c r="Z35" s="13" t="n"/>
      <c r="AA35" s="14">
        <f>IF(AND(X35="",Y35=""),"",X35-IF(Ayarlar!$B$16&gt;0,Y35/Ayarlar!$B$16,0))</f>
        <v/>
      </c>
      <c r="AB35" s="12" t="n"/>
      <c r="AC35" s="12" t="n"/>
      <c r="AD35" s="13" t="n"/>
      <c r="AE35" s="14">
        <f>IF(AND(AB35="",AC35=""),"",AB35-IF(Ayarlar!$B$16&gt;0,AC35/Ayarlar!$B$16,0))</f>
        <v/>
      </c>
      <c r="AF35" s="12" t="n"/>
      <c r="AG35" s="12" t="n"/>
      <c r="AH35" s="13" t="n"/>
      <c r="AI35" s="14">
        <f>IF(AND(AF35="",AG35=""),"",AF35-IF(Ayarlar!$B$16&gt;0,AG35/Ayarlar!$B$16,0))</f>
        <v/>
      </c>
      <c r="AJ35" s="15">
        <f>IF(COUNT(D35,E35,H35,I35,L35,M35,P35,Q35,T35,U35,X35,Y35,AB35,AC35,AF35,AG35)=0,"",D35+H35+L35+P35+T35+X35+AB35+AF35)</f>
        <v/>
      </c>
      <c r="AK35" s="15">
        <f>IF(COUNT(D35,E35,H35,I35,L35,M35,P35,Q35,T35,U35,X35,Y35,AB35,AC35,AF35,AG35)=0,"",E35+I35+M35+Q35+U35+Y35+AC35+AG35)</f>
        <v/>
      </c>
      <c r="AL35" s="15">
        <f>IF(COUNT(D35,E35,H35,I35,L35,M35,P35,Q35,T35,U35,X35,Y35,AB35,AC35,AF35,AG35)=0,"",IF(ISNUMBER(G35),IF(F35="",Ayarlar!$B$4,F35),0)+IF(ISNUMBER(K35),IF(J35="",Ayarlar!$B$5,J35),0)+IF(ISNUMBER(O35),IF(N35="",Ayarlar!$B$6,N35),0)+IF(ISNUMBER(S35),IF(R35="",Ayarlar!$B$7,R35),0)+IF(ISNUMBER(W35),IF(V35="",Ayarlar!$B$8,V35),0)+IF(ISNUMBER(AA35),IF(Z35="",Ayarlar!$B$9,Z35),0)+IF(ISNUMBER(AE35),IF(AD35="",Ayarlar!$B$10,AD35),0)+IF(ISNUMBER(AI35),IF(AH35="",Ayarlar!$B$11,AH35),0))</f>
        <v/>
      </c>
      <c r="AM35" s="15">
        <f>IF(COUNT(D35,E35,H35,I35,L35,M35,P35,Q35,T35,U35,X35,Y35,AB35,AC35,AF35,AG35)=0,"",AL35-AJ35-AK35)</f>
        <v/>
      </c>
      <c r="AN35" s="16">
        <f>IF(COUNT(D35,E35,H35,I35,L35,M35,P35,Q35,T35,U35,X35,Y35,AB35,AC35,AF35,AG35)=0,"",SUM(G35,K35,O35,S35,W35,AA35,AE35,AI35))</f>
        <v/>
      </c>
      <c r="AO35" s="17">
        <f>IF(OR(COUNT(D35,E35,H35,I35,L35,M35,P35,Q35,T35,U35,X35,Y35,AB35,AC35,AF35,AG35)=0,N(AL35)=0),"",AN35/AL35)</f>
        <v/>
      </c>
      <c r="AP35" s="18">
        <f>IF(OR(AO35="",AO34=""),"",AO35-AO34)</f>
        <v/>
      </c>
      <c r="AQ35" s="19">
        <f>IFERROR((IF(Ayarlar!$B$21=Ayarlar!$E$21,N(G35),0)+IF(Ayarlar!$B$22=Ayarlar!$E$21,N(K35),0)+IF(Ayarlar!$B$23=Ayarlar!$E$21,N(O35),0)+IF(Ayarlar!$B$24=Ayarlar!$E$21,N(S35),0)+IF(Ayarlar!$B$25=Ayarlar!$E$21,N(W35),0)+IF(Ayarlar!$B$26=Ayarlar!$E$21,N(AA35),0)+IF(Ayarlar!$B$27=Ayarlar!$E$21,N(AE35),0)+IF(Ayarlar!$B$28=Ayarlar!$E$21,N(AI35),0))/(IF(AND(Ayarlar!$B$21=Ayarlar!$E$21,ISNUMBER(G35)),IF(F35="",Ayarlar!$B$4,F35),0)+IF(AND(Ayarlar!$B$22=Ayarlar!$E$21,ISNUMBER(K35)),IF(J35="",Ayarlar!$B$5,J35),0)+IF(AND(Ayarlar!$B$23=Ayarlar!$E$21,ISNUMBER(O35)),IF(N35="",Ayarlar!$B$6,N35),0)+IF(AND(Ayarlar!$B$24=Ayarlar!$E$21,ISNUMBER(S35)),IF(R35="",Ayarlar!$B$7,R35),0)+IF(AND(Ayarlar!$B$25=Ayarlar!$E$21,ISNUMBER(W35)),IF(V35="",Ayarlar!$B$8,V35),0)+IF(AND(Ayarlar!$B$26=Ayarlar!$E$21,ISNUMBER(AA35)),IF(Z35="",Ayarlar!$B$9,Z35),0)+IF(AND(Ayarlar!$B$27=Ayarlar!$E$21,ISNUMBER(AE35)),IF(AD35="",Ayarlar!$B$10,AD35),0)+IF(AND(Ayarlar!$B$28=Ayarlar!$E$21,ISNUMBER(AI35)),IF(AH35="",Ayarlar!$B$11,AH35),0))*Ayarlar!$F$21,"")</f>
        <v/>
      </c>
      <c r="AR35" s="19">
        <f>IFERROR((IF(Ayarlar!$B$21=Ayarlar!$E$22,N(G35),0)+IF(Ayarlar!$B$22=Ayarlar!$E$22,N(K35),0)+IF(Ayarlar!$B$23=Ayarlar!$E$22,N(O35),0)+IF(Ayarlar!$B$24=Ayarlar!$E$22,N(S35),0)+IF(Ayarlar!$B$25=Ayarlar!$E$22,N(W35),0)+IF(Ayarlar!$B$26=Ayarlar!$E$22,N(AA35),0)+IF(Ayarlar!$B$27=Ayarlar!$E$22,N(AE35),0)+IF(Ayarlar!$B$28=Ayarlar!$E$22,N(AI35),0))/(IF(AND(Ayarlar!$B$21=Ayarlar!$E$22,ISNUMBER(G35)),IF(F35="",Ayarlar!$B$4,F35),0)+IF(AND(Ayarlar!$B$22=Ayarlar!$E$22,ISNUMBER(K35)),IF(J35="",Ayarlar!$B$5,J35),0)+IF(AND(Ayarlar!$B$23=Ayarlar!$E$22,ISNUMBER(O35)),IF(N35="",Ayarlar!$B$6,N35),0)+IF(AND(Ayarlar!$B$24=Ayarlar!$E$22,ISNUMBER(S35)),IF(R35="",Ayarlar!$B$7,R35),0)+IF(AND(Ayarlar!$B$25=Ayarlar!$E$22,ISNUMBER(W35)),IF(V35="",Ayarlar!$B$8,V35),0)+IF(AND(Ayarlar!$B$26=Ayarlar!$E$22,ISNUMBER(AA35)),IF(Z35="",Ayarlar!$B$9,Z35),0)+IF(AND(Ayarlar!$B$27=Ayarlar!$E$22,ISNUMBER(AE35)),IF(AD35="",Ayarlar!$B$10,AD35),0)+IF(AND(Ayarlar!$B$28=Ayarlar!$E$22,ISNUMBER(AI35)),IF(AH35="",Ayarlar!$B$11,AH35),0))*Ayarlar!$F$22,"")</f>
        <v/>
      </c>
      <c r="AS35" s="19">
        <f>IFERROR((IF(Ayarlar!$B$21=Ayarlar!$E$23,N(G35),0)+IF(Ayarlar!$B$22=Ayarlar!$E$23,N(K35),0)+IF(Ayarlar!$B$23=Ayarlar!$E$23,N(O35),0)+IF(Ayarlar!$B$24=Ayarlar!$E$23,N(S35),0)+IF(Ayarlar!$B$25=Ayarlar!$E$23,N(W35),0)+IF(Ayarlar!$B$26=Ayarlar!$E$23,N(AA35),0)+IF(Ayarlar!$B$27=Ayarlar!$E$23,N(AE35),0)+IF(Ayarlar!$B$28=Ayarlar!$E$23,N(AI35),0))/(IF(AND(Ayarlar!$B$21=Ayarlar!$E$23,ISNUMBER(G35)),IF(F35="",Ayarlar!$B$4,F35),0)+IF(AND(Ayarlar!$B$22=Ayarlar!$E$23,ISNUMBER(K35)),IF(J35="",Ayarlar!$B$5,J35),0)+IF(AND(Ayarlar!$B$23=Ayarlar!$E$23,ISNUMBER(O35)),IF(N35="",Ayarlar!$B$6,N35),0)+IF(AND(Ayarlar!$B$24=Ayarlar!$E$23,ISNUMBER(S35)),IF(R35="",Ayarlar!$B$7,R35),0)+IF(AND(Ayarlar!$B$25=Ayarlar!$E$23,ISNUMBER(W35)),IF(V35="",Ayarlar!$B$8,V35),0)+IF(AND(Ayarlar!$B$26=Ayarlar!$E$23,ISNUMBER(AA35)),IF(Z35="",Ayarlar!$B$9,Z35),0)+IF(AND(Ayarlar!$B$27=Ayarlar!$E$23,ISNUMBER(AE35)),IF(AD35="",Ayarlar!$B$10,AD35),0)+IF(AND(Ayarlar!$B$28=Ayarlar!$E$23,ISNUMBER(AI35)),IF(AH35="",Ayarlar!$B$11,AH35),0))*Ayarlar!$F$23,"")</f>
        <v/>
      </c>
      <c r="AT35" s="19">
        <f>IFERROR((IF(Ayarlar!$B$21=Ayarlar!$E$24,N(G35),0)+IF(Ayarlar!$B$22=Ayarlar!$E$24,N(K35),0)+IF(Ayarlar!$B$23=Ayarlar!$E$24,N(O35),0)+IF(Ayarlar!$B$24=Ayarlar!$E$24,N(S35),0)+IF(Ayarlar!$B$25=Ayarlar!$E$24,N(W35),0)+IF(Ayarlar!$B$26=Ayarlar!$E$24,N(AA35),0)+IF(Ayarlar!$B$27=Ayarlar!$E$24,N(AE35),0)+IF(Ayarlar!$B$28=Ayarlar!$E$24,N(AI35),0))/(IF(AND(Ayarlar!$B$21=Ayarlar!$E$24,ISNUMBER(G35)),IF(F35="",Ayarlar!$B$4,F35),0)+IF(AND(Ayarlar!$B$22=Ayarlar!$E$24,ISNUMBER(K35)),IF(J35="",Ayarlar!$B$5,J35),0)+IF(AND(Ayarlar!$B$23=Ayarlar!$E$24,ISNUMBER(O35)),IF(N35="",Ayarlar!$B$6,N35),0)+IF(AND(Ayarlar!$B$24=Ayarlar!$E$24,ISNUMBER(S35)),IF(R35="",Ayarlar!$B$7,R35),0)+IF(AND(Ayarlar!$B$25=Ayarlar!$E$24,ISNUMBER(W35)),IF(V35="",Ayarlar!$B$8,V35),0)+IF(AND(Ayarlar!$B$26=Ayarlar!$E$24,ISNUMBER(AA35)),IF(Z35="",Ayarlar!$B$9,Z35),0)+IF(AND(Ayarlar!$B$27=Ayarlar!$E$24,ISNUMBER(AE35)),IF(AD35="",Ayarlar!$B$10,AD35),0)+IF(AND(Ayarlar!$B$28=Ayarlar!$E$24,ISNUMBER(AI35)),IF(AH35="",Ayarlar!$B$11,AH35),0))*Ayarlar!$F$24,"")</f>
        <v/>
      </c>
      <c r="AU35" s="20">
        <f>IF(COUNT(AQ35,AR35,AS35,AT35)&lt;4,"",Ayarlar!$F$25+AQ35*Ayarlar!$G$21+AR35*Ayarlar!$G$22+AS35*Ayarlar!$G$23+AT35*Ayarlar!$G$24)</f>
        <v/>
      </c>
    </row>
    <row r="36">
      <c r="A36" s="10" t="n">
        <v>32</v>
      </c>
      <c r="B36" s="11" t="n"/>
      <c r="C36" s="4" t="n"/>
      <c r="D36" s="12" t="n"/>
      <c r="E36" s="12" t="n"/>
      <c r="F36" s="13" t="n"/>
      <c r="G36" s="14">
        <f>IF(AND(D36="",E36=""),"",D36-IF(Ayarlar!$B$16&gt;0,E36/Ayarlar!$B$16,0))</f>
        <v/>
      </c>
      <c r="H36" s="12" t="n"/>
      <c r="I36" s="12" t="n"/>
      <c r="J36" s="13" t="n"/>
      <c r="K36" s="14">
        <f>IF(AND(H36="",I36=""),"",H36-IF(Ayarlar!$B$16&gt;0,I36/Ayarlar!$B$16,0))</f>
        <v/>
      </c>
      <c r="L36" s="12" t="n"/>
      <c r="M36" s="12" t="n"/>
      <c r="N36" s="13" t="n"/>
      <c r="O36" s="14">
        <f>IF(AND(L36="",M36=""),"",L36-IF(Ayarlar!$B$16&gt;0,M36/Ayarlar!$B$16,0))</f>
        <v/>
      </c>
      <c r="P36" s="12" t="n"/>
      <c r="Q36" s="12" t="n"/>
      <c r="R36" s="13" t="n"/>
      <c r="S36" s="14">
        <f>IF(AND(P36="",Q36=""),"",P36-IF(Ayarlar!$B$16&gt;0,Q36/Ayarlar!$B$16,0))</f>
        <v/>
      </c>
      <c r="T36" s="12" t="n"/>
      <c r="U36" s="12" t="n"/>
      <c r="V36" s="13" t="n"/>
      <c r="W36" s="14">
        <f>IF(AND(T36="",U36=""),"",T36-IF(Ayarlar!$B$16&gt;0,U36/Ayarlar!$B$16,0))</f>
        <v/>
      </c>
      <c r="X36" s="12" t="n"/>
      <c r="Y36" s="12" t="n"/>
      <c r="Z36" s="13" t="n"/>
      <c r="AA36" s="14">
        <f>IF(AND(X36="",Y36=""),"",X36-IF(Ayarlar!$B$16&gt;0,Y36/Ayarlar!$B$16,0))</f>
        <v/>
      </c>
      <c r="AB36" s="12" t="n"/>
      <c r="AC36" s="12" t="n"/>
      <c r="AD36" s="13" t="n"/>
      <c r="AE36" s="14">
        <f>IF(AND(AB36="",AC36=""),"",AB36-IF(Ayarlar!$B$16&gt;0,AC36/Ayarlar!$B$16,0))</f>
        <v/>
      </c>
      <c r="AF36" s="12" t="n"/>
      <c r="AG36" s="12" t="n"/>
      <c r="AH36" s="13" t="n"/>
      <c r="AI36" s="14">
        <f>IF(AND(AF36="",AG36=""),"",AF36-IF(Ayarlar!$B$16&gt;0,AG36/Ayarlar!$B$16,0))</f>
        <v/>
      </c>
      <c r="AJ36" s="15">
        <f>IF(COUNT(D36,E36,H36,I36,L36,M36,P36,Q36,T36,U36,X36,Y36,AB36,AC36,AF36,AG36)=0,"",D36+H36+L36+P36+T36+X36+AB36+AF36)</f>
        <v/>
      </c>
      <c r="AK36" s="15">
        <f>IF(COUNT(D36,E36,H36,I36,L36,M36,P36,Q36,T36,U36,X36,Y36,AB36,AC36,AF36,AG36)=0,"",E36+I36+M36+Q36+U36+Y36+AC36+AG36)</f>
        <v/>
      </c>
      <c r="AL36" s="15">
        <f>IF(COUNT(D36,E36,H36,I36,L36,M36,P36,Q36,T36,U36,X36,Y36,AB36,AC36,AF36,AG36)=0,"",IF(ISNUMBER(G36),IF(F36="",Ayarlar!$B$4,F36),0)+IF(ISNUMBER(K36),IF(J36="",Ayarlar!$B$5,J36),0)+IF(ISNUMBER(O36),IF(N36="",Ayarlar!$B$6,N36),0)+IF(ISNUMBER(S36),IF(R36="",Ayarlar!$B$7,R36),0)+IF(ISNUMBER(W36),IF(V36="",Ayarlar!$B$8,V36),0)+IF(ISNUMBER(AA36),IF(Z36="",Ayarlar!$B$9,Z36),0)+IF(ISNUMBER(AE36),IF(AD36="",Ayarlar!$B$10,AD36),0)+IF(ISNUMBER(AI36),IF(AH36="",Ayarlar!$B$11,AH36),0))</f>
        <v/>
      </c>
      <c r="AM36" s="15">
        <f>IF(COUNT(D36,E36,H36,I36,L36,M36,P36,Q36,T36,U36,X36,Y36,AB36,AC36,AF36,AG36)=0,"",AL36-AJ36-AK36)</f>
        <v/>
      </c>
      <c r="AN36" s="16">
        <f>IF(COUNT(D36,E36,H36,I36,L36,M36,P36,Q36,T36,U36,X36,Y36,AB36,AC36,AF36,AG36)=0,"",SUM(G36,K36,O36,S36,W36,AA36,AE36,AI36))</f>
        <v/>
      </c>
      <c r="AO36" s="17">
        <f>IF(OR(COUNT(D36,E36,H36,I36,L36,M36,P36,Q36,T36,U36,X36,Y36,AB36,AC36,AF36,AG36)=0,N(AL36)=0),"",AN36/AL36)</f>
        <v/>
      </c>
      <c r="AP36" s="18">
        <f>IF(OR(AO36="",AO35=""),"",AO36-AO35)</f>
        <v/>
      </c>
      <c r="AQ36" s="19">
        <f>IFERROR((IF(Ayarlar!$B$21=Ayarlar!$E$21,N(G36),0)+IF(Ayarlar!$B$22=Ayarlar!$E$21,N(K36),0)+IF(Ayarlar!$B$23=Ayarlar!$E$21,N(O36),0)+IF(Ayarlar!$B$24=Ayarlar!$E$21,N(S36),0)+IF(Ayarlar!$B$25=Ayarlar!$E$21,N(W36),0)+IF(Ayarlar!$B$26=Ayarlar!$E$21,N(AA36),0)+IF(Ayarlar!$B$27=Ayarlar!$E$21,N(AE36),0)+IF(Ayarlar!$B$28=Ayarlar!$E$21,N(AI36),0))/(IF(AND(Ayarlar!$B$21=Ayarlar!$E$21,ISNUMBER(G36)),IF(F36="",Ayarlar!$B$4,F36),0)+IF(AND(Ayarlar!$B$22=Ayarlar!$E$21,ISNUMBER(K36)),IF(J36="",Ayarlar!$B$5,J36),0)+IF(AND(Ayarlar!$B$23=Ayarlar!$E$21,ISNUMBER(O36)),IF(N36="",Ayarlar!$B$6,N36),0)+IF(AND(Ayarlar!$B$24=Ayarlar!$E$21,ISNUMBER(S36)),IF(R36="",Ayarlar!$B$7,R36),0)+IF(AND(Ayarlar!$B$25=Ayarlar!$E$21,ISNUMBER(W36)),IF(V36="",Ayarlar!$B$8,V36),0)+IF(AND(Ayarlar!$B$26=Ayarlar!$E$21,ISNUMBER(AA36)),IF(Z36="",Ayarlar!$B$9,Z36),0)+IF(AND(Ayarlar!$B$27=Ayarlar!$E$21,ISNUMBER(AE36)),IF(AD36="",Ayarlar!$B$10,AD36),0)+IF(AND(Ayarlar!$B$28=Ayarlar!$E$21,ISNUMBER(AI36)),IF(AH36="",Ayarlar!$B$11,AH36),0))*Ayarlar!$F$21,"")</f>
        <v/>
      </c>
      <c r="AR36" s="19">
        <f>IFERROR((IF(Ayarlar!$B$21=Ayarlar!$E$22,N(G36),0)+IF(Ayarlar!$B$22=Ayarlar!$E$22,N(K36),0)+IF(Ayarlar!$B$23=Ayarlar!$E$22,N(O36),0)+IF(Ayarlar!$B$24=Ayarlar!$E$22,N(S36),0)+IF(Ayarlar!$B$25=Ayarlar!$E$22,N(W36),0)+IF(Ayarlar!$B$26=Ayarlar!$E$22,N(AA36),0)+IF(Ayarlar!$B$27=Ayarlar!$E$22,N(AE36),0)+IF(Ayarlar!$B$28=Ayarlar!$E$22,N(AI36),0))/(IF(AND(Ayarlar!$B$21=Ayarlar!$E$22,ISNUMBER(G36)),IF(F36="",Ayarlar!$B$4,F36),0)+IF(AND(Ayarlar!$B$22=Ayarlar!$E$22,ISNUMBER(K36)),IF(J36="",Ayarlar!$B$5,J36),0)+IF(AND(Ayarlar!$B$23=Ayarlar!$E$22,ISNUMBER(O36)),IF(N36="",Ayarlar!$B$6,N36),0)+IF(AND(Ayarlar!$B$24=Ayarlar!$E$22,ISNUMBER(S36)),IF(R36="",Ayarlar!$B$7,R36),0)+IF(AND(Ayarlar!$B$25=Ayarlar!$E$22,ISNUMBER(W36)),IF(V36="",Ayarlar!$B$8,V36),0)+IF(AND(Ayarlar!$B$26=Ayarlar!$E$22,ISNUMBER(AA36)),IF(Z36="",Ayarlar!$B$9,Z36),0)+IF(AND(Ayarlar!$B$27=Ayarlar!$E$22,ISNUMBER(AE36)),IF(AD36="",Ayarlar!$B$10,AD36),0)+IF(AND(Ayarlar!$B$28=Ayarlar!$E$22,ISNUMBER(AI36)),IF(AH36="",Ayarlar!$B$11,AH36),0))*Ayarlar!$F$22,"")</f>
        <v/>
      </c>
      <c r="AS36" s="19">
        <f>IFERROR((IF(Ayarlar!$B$21=Ayarlar!$E$23,N(G36),0)+IF(Ayarlar!$B$22=Ayarlar!$E$23,N(K36),0)+IF(Ayarlar!$B$23=Ayarlar!$E$23,N(O36),0)+IF(Ayarlar!$B$24=Ayarlar!$E$23,N(S36),0)+IF(Ayarlar!$B$25=Ayarlar!$E$23,N(W36),0)+IF(Ayarlar!$B$26=Ayarlar!$E$23,N(AA36),0)+IF(Ayarlar!$B$27=Ayarlar!$E$23,N(AE36),0)+IF(Ayarlar!$B$28=Ayarlar!$E$23,N(AI36),0))/(IF(AND(Ayarlar!$B$21=Ayarlar!$E$23,ISNUMBER(G36)),IF(F36="",Ayarlar!$B$4,F36),0)+IF(AND(Ayarlar!$B$22=Ayarlar!$E$23,ISNUMBER(K36)),IF(J36="",Ayarlar!$B$5,J36),0)+IF(AND(Ayarlar!$B$23=Ayarlar!$E$23,ISNUMBER(O36)),IF(N36="",Ayarlar!$B$6,N36),0)+IF(AND(Ayarlar!$B$24=Ayarlar!$E$23,ISNUMBER(S36)),IF(R36="",Ayarlar!$B$7,R36),0)+IF(AND(Ayarlar!$B$25=Ayarlar!$E$23,ISNUMBER(W36)),IF(V36="",Ayarlar!$B$8,V36),0)+IF(AND(Ayarlar!$B$26=Ayarlar!$E$23,ISNUMBER(AA36)),IF(Z36="",Ayarlar!$B$9,Z36),0)+IF(AND(Ayarlar!$B$27=Ayarlar!$E$23,ISNUMBER(AE36)),IF(AD36="",Ayarlar!$B$10,AD36),0)+IF(AND(Ayarlar!$B$28=Ayarlar!$E$23,ISNUMBER(AI36)),IF(AH36="",Ayarlar!$B$11,AH36),0))*Ayarlar!$F$23,"")</f>
        <v/>
      </c>
      <c r="AT36" s="19">
        <f>IFERROR((IF(Ayarlar!$B$21=Ayarlar!$E$24,N(G36),0)+IF(Ayarlar!$B$22=Ayarlar!$E$24,N(K36),0)+IF(Ayarlar!$B$23=Ayarlar!$E$24,N(O36),0)+IF(Ayarlar!$B$24=Ayarlar!$E$24,N(S36),0)+IF(Ayarlar!$B$25=Ayarlar!$E$24,N(W36),0)+IF(Ayarlar!$B$26=Ayarlar!$E$24,N(AA36),0)+IF(Ayarlar!$B$27=Ayarlar!$E$24,N(AE36),0)+IF(Ayarlar!$B$28=Ayarlar!$E$24,N(AI36),0))/(IF(AND(Ayarlar!$B$21=Ayarlar!$E$24,ISNUMBER(G36)),IF(F36="",Ayarlar!$B$4,F36),0)+IF(AND(Ayarlar!$B$22=Ayarlar!$E$24,ISNUMBER(K36)),IF(J36="",Ayarlar!$B$5,J36),0)+IF(AND(Ayarlar!$B$23=Ayarlar!$E$24,ISNUMBER(O36)),IF(N36="",Ayarlar!$B$6,N36),0)+IF(AND(Ayarlar!$B$24=Ayarlar!$E$24,ISNUMBER(S36)),IF(R36="",Ayarlar!$B$7,R36),0)+IF(AND(Ayarlar!$B$25=Ayarlar!$E$24,ISNUMBER(W36)),IF(V36="",Ayarlar!$B$8,V36),0)+IF(AND(Ayarlar!$B$26=Ayarlar!$E$24,ISNUMBER(AA36)),IF(Z36="",Ayarlar!$B$9,Z36),0)+IF(AND(Ayarlar!$B$27=Ayarlar!$E$24,ISNUMBER(AE36)),IF(AD36="",Ayarlar!$B$10,AD36),0)+IF(AND(Ayarlar!$B$28=Ayarlar!$E$24,ISNUMBER(AI36)),IF(AH36="",Ayarlar!$B$11,AH36),0))*Ayarlar!$F$24,"")</f>
        <v/>
      </c>
      <c r="AU36" s="20">
        <f>IF(COUNT(AQ36,AR36,AS36,AT36)&lt;4,"",Ayarlar!$F$25+AQ36*Ayarlar!$G$21+AR36*Ayarlar!$G$22+AS36*Ayarlar!$G$23+AT36*Ayarlar!$G$24)</f>
        <v/>
      </c>
    </row>
    <row r="37">
      <c r="A37" s="10" t="n">
        <v>33</v>
      </c>
      <c r="B37" s="11" t="n"/>
      <c r="C37" s="4" t="n"/>
      <c r="D37" s="12" t="n"/>
      <c r="E37" s="12" t="n"/>
      <c r="F37" s="13" t="n"/>
      <c r="G37" s="14">
        <f>IF(AND(D37="",E37=""),"",D37-IF(Ayarlar!$B$16&gt;0,E37/Ayarlar!$B$16,0))</f>
        <v/>
      </c>
      <c r="H37" s="12" t="n"/>
      <c r="I37" s="12" t="n"/>
      <c r="J37" s="13" t="n"/>
      <c r="K37" s="14">
        <f>IF(AND(H37="",I37=""),"",H37-IF(Ayarlar!$B$16&gt;0,I37/Ayarlar!$B$16,0))</f>
        <v/>
      </c>
      <c r="L37" s="12" t="n"/>
      <c r="M37" s="12" t="n"/>
      <c r="N37" s="13" t="n"/>
      <c r="O37" s="14">
        <f>IF(AND(L37="",M37=""),"",L37-IF(Ayarlar!$B$16&gt;0,M37/Ayarlar!$B$16,0))</f>
        <v/>
      </c>
      <c r="P37" s="12" t="n"/>
      <c r="Q37" s="12" t="n"/>
      <c r="R37" s="13" t="n"/>
      <c r="S37" s="14">
        <f>IF(AND(P37="",Q37=""),"",P37-IF(Ayarlar!$B$16&gt;0,Q37/Ayarlar!$B$16,0))</f>
        <v/>
      </c>
      <c r="T37" s="12" t="n"/>
      <c r="U37" s="12" t="n"/>
      <c r="V37" s="13" t="n"/>
      <c r="W37" s="14">
        <f>IF(AND(T37="",U37=""),"",T37-IF(Ayarlar!$B$16&gt;0,U37/Ayarlar!$B$16,0))</f>
        <v/>
      </c>
      <c r="X37" s="12" t="n"/>
      <c r="Y37" s="12" t="n"/>
      <c r="Z37" s="13" t="n"/>
      <c r="AA37" s="14">
        <f>IF(AND(X37="",Y37=""),"",X37-IF(Ayarlar!$B$16&gt;0,Y37/Ayarlar!$B$16,0))</f>
        <v/>
      </c>
      <c r="AB37" s="12" t="n"/>
      <c r="AC37" s="12" t="n"/>
      <c r="AD37" s="13" t="n"/>
      <c r="AE37" s="14">
        <f>IF(AND(AB37="",AC37=""),"",AB37-IF(Ayarlar!$B$16&gt;0,AC37/Ayarlar!$B$16,0))</f>
        <v/>
      </c>
      <c r="AF37" s="12" t="n"/>
      <c r="AG37" s="12" t="n"/>
      <c r="AH37" s="13" t="n"/>
      <c r="AI37" s="14">
        <f>IF(AND(AF37="",AG37=""),"",AF37-IF(Ayarlar!$B$16&gt;0,AG37/Ayarlar!$B$16,0))</f>
        <v/>
      </c>
      <c r="AJ37" s="15">
        <f>IF(COUNT(D37,E37,H37,I37,L37,M37,P37,Q37,T37,U37,X37,Y37,AB37,AC37,AF37,AG37)=0,"",D37+H37+L37+P37+T37+X37+AB37+AF37)</f>
        <v/>
      </c>
      <c r="AK37" s="15">
        <f>IF(COUNT(D37,E37,H37,I37,L37,M37,P37,Q37,T37,U37,X37,Y37,AB37,AC37,AF37,AG37)=0,"",E37+I37+M37+Q37+U37+Y37+AC37+AG37)</f>
        <v/>
      </c>
      <c r="AL37" s="15">
        <f>IF(COUNT(D37,E37,H37,I37,L37,M37,P37,Q37,T37,U37,X37,Y37,AB37,AC37,AF37,AG37)=0,"",IF(ISNUMBER(G37),IF(F37="",Ayarlar!$B$4,F37),0)+IF(ISNUMBER(K37),IF(J37="",Ayarlar!$B$5,J37),0)+IF(ISNUMBER(O37),IF(N37="",Ayarlar!$B$6,N37),0)+IF(ISNUMBER(S37),IF(R37="",Ayarlar!$B$7,R37),0)+IF(ISNUMBER(W37),IF(V37="",Ayarlar!$B$8,V37),0)+IF(ISNUMBER(AA37),IF(Z37="",Ayarlar!$B$9,Z37),0)+IF(ISNUMBER(AE37),IF(AD37="",Ayarlar!$B$10,AD37),0)+IF(ISNUMBER(AI37),IF(AH37="",Ayarlar!$B$11,AH37),0))</f>
        <v/>
      </c>
      <c r="AM37" s="15">
        <f>IF(COUNT(D37,E37,H37,I37,L37,M37,P37,Q37,T37,U37,X37,Y37,AB37,AC37,AF37,AG37)=0,"",AL37-AJ37-AK37)</f>
        <v/>
      </c>
      <c r="AN37" s="16">
        <f>IF(COUNT(D37,E37,H37,I37,L37,M37,P37,Q37,T37,U37,X37,Y37,AB37,AC37,AF37,AG37)=0,"",SUM(G37,K37,O37,S37,W37,AA37,AE37,AI37))</f>
        <v/>
      </c>
      <c r="AO37" s="17">
        <f>IF(OR(COUNT(D37,E37,H37,I37,L37,M37,P37,Q37,T37,U37,X37,Y37,AB37,AC37,AF37,AG37)=0,N(AL37)=0),"",AN37/AL37)</f>
        <v/>
      </c>
      <c r="AP37" s="18">
        <f>IF(OR(AO37="",AO36=""),"",AO37-AO36)</f>
        <v/>
      </c>
      <c r="AQ37" s="19">
        <f>IFERROR((IF(Ayarlar!$B$21=Ayarlar!$E$21,N(G37),0)+IF(Ayarlar!$B$22=Ayarlar!$E$21,N(K37),0)+IF(Ayarlar!$B$23=Ayarlar!$E$21,N(O37),0)+IF(Ayarlar!$B$24=Ayarlar!$E$21,N(S37),0)+IF(Ayarlar!$B$25=Ayarlar!$E$21,N(W37),0)+IF(Ayarlar!$B$26=Ayarlar!$E$21,N(AA37),0)+IF(Ayarlar!$B$27=Ayarlar!$E$21,N(AE37),0)+IF(Ayarlar!$B$28=Ayarlar!$E$21,N(AI37),0))/(IF(AND(Ayarlar!$B$21=Ayarlar!$E$21,ISNUMBER(G37)),IF(F37="",Ayarlar!$B$4,F37),0)+IF(AND(Ayarlar!$B$22=Ayarlar!$E$21,ISNUMBER(K37)),IF(J37="",Ayarlar!$B$5,J37),0)+IF(AND(Ayarlar!$B$23=Ayarlar!$E$21,ISNUMBER(O37)),IF(N37="",Ayarlar!$B$6,N37),0)+IF(AND(Ayarlar!$B$24=Ayarlar!$E$21,ISNUMBER(S37)),IF(R37="",Ayarlar!$B$7,R37),0)+IF(AND(Ayarlar!$B$25=Ayarlar!$E$21,ISNUMBER(W37)),IF(V37="",Ayarlar!$B$8,V37),0)+IF(AND(Ayarlar!$B$26=Ayarlar!$E$21,ISNUMBER(AA37)),IF(Z37="",Ayarlar!$B$9,Z37),0)+IF(AND(Ayarlar!$B$27=Ayarlar!$E$21,ISNUMBER(AE37)),IF(AD37="",Ayarlar!$B$10,AD37),0)+IF(AND(Ayarlar!$B$28=Ayarlar!$E$21,ISNUMBER(AI37)),IF(AH37="",Ayarlar!$B$11,AH37),0))*Ayarlar!$F$21,"")</f>
        <v/>
      </c>
      <c r="AR37" s="19">
        <f>IFERROR((IF(Ayarlar!$B$21=Ayarlar!$E$22,N(G37),0)+IF(Ayarlar!$B$22=Ayarlar!$E$22,N(K37),0)+IF(Ayarlar!$B$23=Ayarlar!$E$22,N(O37),0)+IF(Ayarlar!$B$24=Ayarlar!$E$22,N(S37),0)+IF(Ayarlar!$B$25=Ayarlar!$E$22,N(W37),0)+IF(Ayarlar!$B$26=Ayarlar!$E$22,N(AA37),0)+IF(Ayarlar!$B$27=Ayarlar!$E$22,N(AE37),0)+IF(Ayarlar!$B$28=Ayarlar!$E$22,N(AI37),0))/(IF(AND(Ayarlar!$B$21=Ayarlar!$E$22,ISNUMBER(G37)),IF(F37="",Ayarlar!$B$4,F37),0)+IF(AND(Ayarlar!$B$22=Ayarlar!$E$22,ISNUMBER(K37)),IF(J37="",Ayarlar!$B$5,J37),0)+IF(AND(Ayarlar!$B$23=Ayarlar!$E$22,ISNUMBER(O37)),IF(N37="",Ayarlar!$B$6,N37),0)+IF(AND(Ayarlar!$B$24=Ayarlar!$E$22,ISNUMBER(S37)),IF(R37="",Ayarlar!$B$7,R37),0)+IF(AND(Ayarlar!$B$25=Ayarlar!$E$22,ISNUMBER(W37)),IF(V37="",Ayarlar!$B$8,V37),0)+IF(AND(Ayarlar!$B$26=Ayarlar!$E$22,ISNUMBER(AA37)),IF(Z37="",Ayarlar!$B$9,Z37),0)+IF(AND(Ayarlar!$B$27=Ayarlar!$E$22,ISNUMBER(AE37)),IF(AD37="",Ayarlar!$B$10,AD37),0)+IF(AND(Ayarlar!$B$28=Ayarlar!$E$22,ISNUMBER(AI37)),IF(AH37="",Ayarlar!$B$11,AH37),0))*Ayarlar!$F$22,"")</f>
        <v/>
      </c>
      <c r="AS37" s="19">
        <f>IFERROR((IF(Ayarlar!$B$21=Ayarlar!$E$23,N(G37),0)+IF(Ayarlar!$B$22=Ayarlar!$E$23,N(K37),0)+IF(Ayarlar!$B$23=Ayarlar!$E$23,N(O37),0)+IF(Ayarlar!$B$24=Ayarlar!$E$23,N(S37),0)+IF(Ayarlar!$B$25=Ayarlar!$E$23,N(W37),0)+IF(Ayarlar!$B$26=Ayarlar!$E$23,N(AA37),0)+IF(Ayarlar!$B$27=Ayarlar!$E$23,N(AE37),0)+IF(Ayarlar!$B$28=Ayarlar!$E$23,N(AI37),0))/(IF(AND(Ayarlar!$B$21=Ayarlar!$E$23,ISNUMBER(G37)),IF(F37="",Ayarlar!$B$4,F37),0)+IF(AND(Ayarlar!$B$22=Ayarlar!$E$23,ISNUMBER(K37)),IF(J37="",Ayarlar!$B$5,J37),0)+IF(AND(Ayarlar!$B$23=Ayarlar!$E$23,ISNUMBER(O37)),IF(N37="",Ayarlar!$B$6,N37),0)+IF(AND(Ayarlar!$B$24=Ayarlar!$E$23,ISNUMBER(S37)),IF(R37="",Ayarlar!$B$7,R37),0)+IF(AND(Ayarlar!$B$25=Ayarlar!$E$23,ISNUMBER(W37)),IF(V37="",Ayarlar!$B$8,V37),0)+IF(AND(Ayarlar!$B$26=Ayarlar!$E$23,ISNUMBER(AA37)),IF(Z37="",Ayarlar!$B$9,Z37),0)+IF(AND(Ayarlar!$B$27=Ayarlar!$E$23,ISNUMBER(AE37)),IF(AD37="",Ayarlar!$B$10,AD37),0)+IF(AND(Ayarlar!$B$28=Ayarlar!$E$23,ISNUMBER(AI37)),IF(AH37="",Ayarlar!$B$11,AH37),0))*Ayarlar!$F$23,"")</f>
        <v/>
      </c>
      <c r="AT37" s="19">
        <f>IFERROR((IF(Ayarlar!$B$21=Ayarlar!$E$24,N(G37),0)+IF(Ayarlar!$B$22=Ayarlar!$E$24,N(K37),0)+IF(Ayarlar!$B$23=Ayarlar!$E$24,N(O37),0)+IF(Ayarlar!$B$24=Ayarlar!$E$24,N(S37),0)+IF(Ayarlar!$B$25=Ayarlar!$E$24,N(W37),0)+IF(Ayarlar!$B$26=Ayarlar!$E$24,N(AA37),0)+IF(Ayarlar!$B$27=Ayarlar!$E$24,N(AE37),0)+IF(Ayarlar!$B$28=Ayarlar!$E$24,N(AI37),0))/(IF(AND(Ayarlar!$B$21=Ayarlar!$E$24,ISNUMBER(G37)),IF(F37="",Ayarlar!$B$4,F37),0)+IF(AND(Ayarlar!$B$22=Ayarlar!$E$24,ISNUMBER(K37)),IF(J37="",Ayarlar!$B$5,J37),0)+IF(AND(Ayarlar!$B$23=Ayarlar!$E$24,ISNUMBER(O37)),IF(N37="",Ayarlar!$B$6,N37),0)+IF(AND(Ayarlar!$B$24=Ayarlar!$E$24,ISNUMBER(S37)),IF(R37="",Ayarlar!$B$7,R37),0)+IF(AND(Ayarlar!$B$25=Ayarlar!$E$24,ISNUMBER(W37)),IF(V37="",Ayarlar!$B$8,V37),0)+IF(AND(Ayarlar!$B$26=Ayarlar!$E$24,ISNUMBER(AA37)),IF(Z37="",Ayarlar!$B$9,Z37),0)+IF(AND(Ayarlar!$B$27=Ayarlar!$E$24,ISNUMBER(AE37)),IF(AD37="",Ayarlar!$B$10,AD37),0)+IF(AND(Ayarlar!$B$28=Ayarlar!$E$24,ISNUMBER(AI37)),IF(AH37="",Ayarlar!$B$11,AH37),0))*Ayarlar!$F$24,"")</f>
        <v/>
      </c>
      <c r="AU37" s="20">
        <f>IF(COUNT(AQ37,AR37,AS37,AT37)&lt;4,"",Ayarlar!$F$25+AQ37*Ayarlar!$G$21+AR37*Ayarlar!$G$22+AS37*Ayarlar!$G$23+AT37*Ayarlar!$G$24)</f>
        <v/>
      </c>
    </row>
    <row r="38">
      <c r="A38" s="10" t="n">
        <v>34</v>
      </c>
      <c r="B38" s="11" t="n"/>
      <c r="C38" s="4" t="n"/>
      <c r="D38" s="12" t="n"/>
      <c r="E38" s="12" t="n"/>
      <c r="F38" s="13" t="n"/>
      <c r="G38" s="14">
        <f>IF(AND(D38="",E38=""),"",D38-IF(Ayarlar!$B$16&gt;0,E38/Ayarlar!$B$16,0))</f>
        <v/>
      </c>
      <c r="H38" s="12" t="n"/>
      <c r="I38" s="12" t="n"/>
      <c r="J38" s="13" t="n"/>
      <c r="K38" s="14">
        <f>IF(AND(H38="",I38=""),"",H38-IF(Ayarlar!$B$16&gt;0,I38/Ayarlar!$B$16,0))</f>
        <v/>
      </c>
      <c r="L38" s="12" t="n"/>
      <c r="M38" s="12" t="n"/>
      <c r="N38" s="13" t="n"/>
      <c r="O38" s="14">
        <f>IF(AND(L38="",M38=""),"",L38-IF(Ayarlar!$B$16&gt;0,M38/Ayarlar!$B$16,0))</f>
        <v/>
      </c>
      <c r="P38" s="12" t="n"/>
      <c r="Q38" s="12" t="n"/>
      <c r="R38" s="13" t="n"/>
      <c r="S38" s="14">
        <f>IF(AND(P38="",Q38=""),"",P38-IF(Ayarlar!$B$16&gt;0,Q38/Ayarlar!$B$16,0))</f>
        <v/>
      </c>
      <c r="T38" s="12" t="n"/>
      <c r="U38" s="12" t="n"/>
      <c r="V38" s="13" t="n"/>
      <c r="W38" s="14">
        <f>IF(AND(T38="",U38=""),"",T38-IF(Ayarlar!$B$16&gt;0,U38/Ayarlar!$B$16,0))</f>
        <v/>
      </c>
      <c r="X38" s="12" t="n"/>
      <c r="Y38" s="12" t="n"/>
      <c r="Z38" s="13" t="n"/>
      <c r="AA38" s="14">
        <f>IF(AND(X38="",Y38=""),"",X38-IF(Ayarlar!$B$16&gt;0,Y38/Ayarlar!$B$16,0))</f>
        <v/>
      </c>
      <c r="AB38" s="12" t="n"/>
      <c r="AC38" s="12" t="n"/>
      <c r="AD38" s="13" t="n"/>
      <c r="AE38" s="14">
        <f>IF(AND(AB38="",AC38=""),"",AB38-IF(Ayarlar!$B$16&gt;0,AC38/Ayarlar!$B$16,0))</f>
        <v/>
      </c>
      <c r="AF38" s="12" t="n"/>
      <c r="AG38" s="12" t="n"/>
      <c r="AH38" s="13" t="n"/>
      <c r="AI38" s="14">
        <f>IF(AND(AF38="",AG38=""),"",AF38-IF(Ayarlar!$B$16&gt;0,AG38/Ayarlar!$B$16,0))</f>
        <v/>
      </c>
      <c r="AJ38" s="15">
        <f>IF(COUNT(D38,E38,H38,I38,L38,M38,P38,Q38,T38,U38,X38,Y38,AB38,AC38,AF38,AG38)=0,"",D38+H38+L38+P38+T38+X38+AB38+AF38)</f>
        <v/>
      </c>
      <c r="AK38" s="15">
        <f>IF(COUNT(D38,E38,H38,I38,L38,M38,P38,Q38,T38,U38,X38,Y38,AB38,AC38,AF38,AG38)=0,"",E38+I38+M38+Q38+U38+Y38+AC38+AG38)</f>
        <v/>
      </c>
      <c r="AL38" s="15">
        <f>IF(COUNT(D38,E38,H38,I38,L38,M38,P38,Q38,T38,U38,X38,Y38,AB38,AC38,AF38,AG38)=0,"",IF(ISNUMBER(G38),IF(F38="",Ayarlar!$B$4,F38),0)+IF(ISNUMBER(K38),IF(J38="",Ayarlar!$B$5,J38),0)+IF(ISNUMBER(O38),IF(N38="",Ayarlar!$B$6,N38),0)+IF(ISNUMBER(S38),IF(R38="",Ayarlar!$B$7,R38),0)+IF(ISNUMBER(W38),IF(V38="",Ayarlar!$B$8,V38),0)+IF(ISNUMBER(AA38),IF(Z38="",Ayarlar!$B$9,Z38),0)+IF(ISNUMBER(AE38),IF(AD38="",Ayarlar!$B$10,AD38),0)+IF(ISNUMBER(AI38),IF(AH38="",Ayarlar!$B$11,AH38),0))</f>
        <v/>
      </c>
      <c r="AM38" s="15">
        <f>IF(COUNT(D38,E38,H38,I38,L38,M38,P38,Q38,T38,U38,X38,Y38,AB38,AC38,AF38,AG38)=0,"",AL38-AJ38-AK38)</f>
        <v/>
      </c>
      <c r="AN38" s="16">
        <f>IF(COUNT(D38,E38,H38,I38,L38,M38,P38,Q38,T38,U38,X38,Y38,AB38,AC38,AF38,AG38)=0,"",SUM(G38,K38,O38,S38,W38,AA38,AE38,AI38))</f>
        <v/>
      </c>
      <c r="AO38" s="17">
        <f>IF(OR(COUNT(D38,E38,H38,I38,L38,M38,P38,Q38,T38,U38,X38,Y38,AB38,AC38,AF38,AG38)=0,N(AL38)=0),"",AN38/AL38)</f>
        <v/>
      </c>
      <c r="AP38" s="18">
        <f>IF(OR(AO38="",AO37=""),"",AO38-AO37)</f>
        <v/>
      </c>
      <c r="AQ38" s="19">
        <f>IFERROR((IF(Ayarlar!$B$21=Ayarlar!$E$21,N(G38),0)+IF(Ayarlar!$B$22=Ayarlar!$E$21,N(K38),0)+IF(Ayarlar!$B$23=Ayarlar!$E$21,N(O38),0)+IF(Ayarlar!$B$24=Ayarlar!$E$21,N(S38),0)+IF(Ayarlar!$B$25=Ayarlar!$E$21,N(W38),0)+IF(Ayarlar!$B$26=Ayarlar!$E$21,N(AA38),0)+IF(Ayarlar!$B$27=Ayarlar!$E$21,N(AE38),0)+IF(Ayarlar!$B$28=Ayarlar!$E$21,N(AI38),0))/(IF(AND(Ayarlar!$B$21=Ayarlar!$E$21,ISNUMBER(G38)),IF(F38="",Ayarlar!$B$4,F38),0)+IF(AND(Ayarlar!$B$22=Ayarlar!$E$21,ISNUMBER(K38)),IF(J38="",Ayarlar!$B$5,J38),0)+IF(AND(Ayarlar!$B$23=Ayarlar!$E$21,ISNUMBER(O38)),IF(N38="",Ayarlar!$B$6,N38),0)+IF(AND(Ayarlar!$B$24=Ayarlar!$E$21,ISNUMBER(S38)),IF(R38="",Ayarlar!$B$7,R38),0)+IF(AND(Ayarlar!$B$25=Ayarlar!$E$21,ISNUMBER(W38)),IF(V38="",Ayarlar!$B$8,V38),0)+IF(AND(Ayarlar!$B$26=Ayarlar!$E$21,ISNUMBER(AA38)),IF(Z38="",Ayarlar!$B$9,Z38),0)+IF(AND(Ayarlar!$B$27=Ayarlar!$E$21,ISNUMBER(AE38)),IF(AD38="",Ayarlar!$B$10,AD38),0)+IF(AND(Ayarlar!$B$28=Ayarlar!$E$21,ISNUMBER(AI38)),IF(AH38="",Ayarlar!$B$11,AH38),0))*Ayarlar!$F$21,"")</f>
        <v/>
      </c>
      <c r="AR38" s="19">
        <f>IFERROR((IF(Ayarlar!$B$21=Ayarlar!$E$22,N(G38),0)+IF(Ayarlar!$B$22=Ayarlar!$E$22,N(K38),0)+IF(Ayarlar!$B$23=Ayarlar!$E$22,N(O38),0)+IF(Ayarlar!$B$24=Ayarlar!$E$22,N(S38),0)+IF(Ayarlar!$B$25=Ayarlar!$E$22,N(W38),0)+IF(Ayarlar!$B$26=Ayarlar!$E$22,N(AA38),0)+IF(Ayarlar!$B$27=Ayarlar!$E$22,N(AE38),0)+IF(Ayarlar!$B$28=Ayarlar!$E$22,N(AI38),0))/(IF(AND(Ayarlar!$B$21=Ayarlar!$E$22,ISNUMBER(G38)),IF(F38="",Ayarlar!$B$4,F38),0)+IF(AND(Ayarlar!$B$22=Ayarlar!$E$22,ISNUMBER(K38)),IF(J38="",Ayarlar!$B$5,J38),0)+IF(AND(Ayarlar!$B$23=Ayarlar!$E$22,ISNUMBER(O38)),IF(N38="",Ayarlar!$B$6,N38),0)+IF(AND(Ayarlar!$B$24=Ayarlar!$E$22,ISNUMBER(S38)),IF(R38="",Ayarlar!$B$7,R38),0)+IF(AND(Ayarlar!$B$25=Ayarlar!$E$22,ISNUMBER(W38)),IF(V38="",Ayarlar!$B$8,V38),0)+IF(AND(Ayarlar!$B$26=Ayarlar!$E$22,ISNUMBER(AA38)),IF(Z38="",Ayarlar!$B$9,Z38),0)+IF(AND(Ayarlar!$B$27=Ayarlar!$E$22,ISNUMBER(AE38)),IF(AD38="",Ayarlar!$B$10,AD38),0)+IF(AND(Ayarlar!$B$28=Ayarlar!$E$22,ISNUMBER(AI38)),IF(AH38="",Ayarlar!$B$11,AH38),0))*Ayarlar!$F$22,"")</f>
        <v/>
      </c>
      <c r="AS38" s="19">
        <f>IFERROR((IF(Ayarlar!$B$21=Ayarlar!$E$23,N(G38),0)+IF(Ayarlar!$B$22=Ayarlar!$E$23,N(K38),0)+IF(Ayarlar!$B$23=Ayarlar!$E$23,N(O38),0)+IF(Ayarlar!$B$24=Ayarlar!$E$23,N(S38),0)+IF(Ayarlar!$B$25=Ayarlar!$E$23,N(W38),0)+IF(Ayarlar!$B$26=Ayarlar!$E$23,N(AA38),0)+IF(Ayarlar!$B$27=Ayarlar!$E$23,N(AE38),0)+IF(Ayarlar!$B$28=Ayarlar!$E$23,N(AI38),0))/(IF(AND(Ayarlar!$B$21=Ayarlar!$E$23,ISNUMBER(G38)),IF(F38="",Ayarlar!$B$4,F38),0)+IF(AND(Ayarlar!$B$22=Ayarlar!$E$23,ISNUMBER(K38)),IF(J38="",Ayarlar!$B$5,J38),0)+IF(AND(Ayarlar!$B$23=Ayarlar!$E$23,ISNUMBER(O38)),IF(N38="",Ayarlar!$B$6,N38),0)+IF(AND(Ayarlar!$B$24=Ayarlar!$E$23,ISNUMBER(S38)),IF(R38="",Ayarlar!$B$7,R38),0)+IF(AND(Ayarlar!$B$25=Ayarlar!$E$23,ISNUMBER(W38)),IF(V38="",Ayarlar!$B$8,V38),0)+IF(AND(Ayarlar!$B$26=Ayarlar!$E$23,ISNUMBER(AA38)),IF(Z38="",Ayarlar!$B$9,Z38),0)+IF(AND(Ayarlar!$B$27=Ayarlar!$E$23,ISNUMBER(AE38)),IF(AD38="",Ayarlar!$B$10,AD38),0)+IF(AND(Ayarlar!$B$28=Ayarlar!$E$23,ISNUMBER(AI38)),IF(AH38="",Ayarlar!$B$11,AH38),0))*Ayarlar!$F$23,"")</f>
        <v/>
      </c>
      <c r="AT38" s="19">
        <f>IFERROR((IF(Ayarlar!$B$21=Ayarlar!$E$24,N(G38),0)+IF(Ayarlar!$B$22=Ayarlar!$E$24,N(K38),0)+IF(Ayarlar!$B$23=Ayarlar!$E$24,N(O38),0)+IF(Ayarlar!$B$24=Ayarlar!$E$24,N(S38),0)+IF(Ayarlar!$B$25=Ayarlar!$E$24,N(W38),0)+IF(Ayarlar!$B$26=Ayarlar!$E$24,N(AA38),0)+IF(Ayarlar!$B$27=Ayarlar!$E$24,N(AE38),0)+IF(Ayarlar!$B$28=Ayarlar!$E$24,N(AI38),0))/(IF(AND(Ayarlar!$B$21=Ayarlar!$E$24,ISNUMBER(G38)),IF(F38="",Ayarlar!$B$4,F38),0)+IF(AND(Ayarlar!$B$22=Ayarlar!$E$24,ISNUMBER(K38)),IF(J38="",Ayarlar!$B$5,J38),0)+IF(AND(Ayarlar!$B$23=Ayarlar!$E$24,ISNUMBER(O38)),IF(N38="",Ayarlar!$B$6,N38),0)+IF(AND(Ayarlar!$B$24=Ayarlar!$E$24,ISNUMBER(S38)),IF(R38="",Ayarlar!$B$7,R38),0)+IF(AND(Ayarlar!$B$25=Ayarlar!$E$24,ISNUMBER(W38)),IF(V38="",Ayarlar!$B$8,V38),0)+IF(AND(Ayarlar!$B$26=Ayarlar!$E$24,ISNUMBER(AA38)),IF(Z38="",Ayarlar!$B$9,Z38),0)+IF(AND(Ayarlar!$B$27=Ayarlar!$E$24,ISNUMBER(AE38)),IF(AD38="",Ayarlar!$B$10,AD38),0)+IF(AND(Ayarlar!$B$28=Ayarlar!$E$24,ISNUMBER(AI38)),IF(AH38="",Ayarlar!$B$11,AH38),0))*Ayarlar!$F$24,"")</f>
        <v/>
      </c>
      <c r="AU38" s="20">
        <f>IF(COUNT(AQ38,AR38,AS38,AT38)&lt;4,"",Ayarlar!$F$25+AQ38*Ayarlar!$G$21+AR38*Ayarlar!$G$22+AS38*Ayarlar!$G$23+AT38*Ayarlar!$G$24)</f>
        <v/>
      </c>
    </row>
    <row r="39">
      <c r="A39" s="10" t="n">
        <v>35</v>
      </c>
      <c r="B39" s="11" t="n"/>
      <c r="C39" s="4" t="n"/>
      <c r="D39" s="12" t="n"/>
      <c r="E39" s="12" t="n"/>
      <c r="F39" s="13" t="n"/>
      <c r="G39" s="14">
        <f>IF(AND(D39="",E39=""),"",D39-IF(Ayarlar!$B$16&gt;0,E39/Ayarlar!$B$16,0))</f>
        <v/>
      </c>
      <c r="H39" s="12" t="n"/>
      <c r="I39" s="12" t="n"/>
      <c r="J39" s="13" t="n"/>
      <c r="K39" s="14">
        <f>IF(AND(H39="",I39=""),"",H39-IF(Ayarlar!$B$16&gt;0,I39/Ayarlar!$B$16,0))</f>
        <v/>
      </c>
      <c r="L39" s="12" t="n"/>
      <c r="M39" s="12" t="n"/>
      <c r="N39" s="13" t="n"/>
      <c r="O39" s="14">
        <f>IF(AND(L39="",M39=""),"",L39-IF(Ayarlar!$B$16&gt;0,M39/Ayarlar!$B$16,0))</f>
        <v/>
      </c>
      <c r="P39" s="12" t="n"/>
      <c r="Q39" s="12" t="n"/>
      <c r="R39" s="13" t="n"/>
      <c r="S39" s="14">
        <f>IF(AND(P39="",Q39=""),"",P39-IF(Ayarlar!$B$16&gt;0,Q39/Ayarlar!$B$16,0))</f>
        <v/>
      </c>
      <c r="T39" s="12" t="n"/>
      <c r="U39" s="12" t="n"/>
      <c r="V39" s="13" t="n"/>
      <c r="W39" s="14">
        <f>IF(AND(T39="",U39=""),"",T39-IF(Ayarlar!$B$16&gt;0,U39/Ayarlar!$B$16,0))</f>
        <v/>
      </c>
      <c r="X39" s="12" t="n"/>
      <c r="Y39" s="12" t="n"/>
      <c r="Z39" s="13" t="n"/>
      <c r="AA39" s="14">
        <f>IF(AND(X39="",Y39=""),"",X39-IF(Ayarlar!$B$16&gt;0,Y39/Ayarlar!$B$16,0))</f>
        <v/>
      </c>
      <c r="AB39" s="12" t="n"/>
      <c r="AC39" s="12" t="n"/>
      <c r="AD39" s="13" t="n"/>
      <c r="AE39" s="14">
        <f>IF(AND(AB39="",AC39=""),"",AB39-IF(Ayarlar!$B$16&gt;0,AC39/Ayarlar!$B$16,0))</f>
        <v/>
      </c>
      <c r="AF39" s="12" t="n"/>
      <c r="AG39" s="12" t="n"/>
      <c r="AH39" s="13" t="n"/>
      <c r="AI39" s="14">
        <f>IF(AND(AF39="",AG39=""),"",AF39-IF(Ayarlar!$B$16&gt;0,AG39/Ayarlar!$B$16,0))</f>
        <v/>
      </c>
      <c r="AJ39" s="15">
        <f>IF(COUNT(D39,E39,H39,I39,L39,M39,P39,Q39,T39,U39,X39,Y39,AB39,AC39,AF39,AG39)=0,"",D39+H39+L39+P39+T39+X39+AB39+AF39)</f>
        <v/>
      </c>
      <c r="AK39" s="15">
        <f>IF(COUNT(D39,E39,H39,I39,L39,M39,P39,Q39,T39,U39,X39,Y39,AB39,AC39,AF39,AG39)=0,"",E39+I39+M39+Q39+U39+Y39+AC39+AG39)</f>
        <v/>
      </c>
      <c r="AL39" s="15">
        <f>IF(COUNT(D39,E39,H39,I39,L39,M39,P39,Q39,T39,U39,X39,Y39,AB39,AC39,AF39,AG39)=0,"",IF(ISNUMBER(G39),IF(F39="",Ayarlar!$B$4,F39),0)+IF(ISNUMBER(K39),IF(J39="",Ayarlar!$B$5,J39),0)+IF(ISNUMBER(O39),IF(N39="",Ayarlar!$B$6,N39),0)+IF(ISNUMBER(S39),IF(R39="",Ayarlar!$B$7,R39),0)+IF(ISNUMBER(W39),IF(V39="",Ayarlar!$B$8,V39),0)+IF(ISNUMBER(AA39),IF(Z39="",Ayarlar!$B$9,Z39),0)+IF(ISNUMBER(AE39),IF(AD39="",Ayarlar!$B$10,AD39),0)+IF(ISNUMBER(AI39),IF(AH39="",Ayarlar!$B$11,AH39),0))</f>
        <v/>
      </c>
      <c r="AM39" s="15">
        <f>IF(COUNT(D39,E39,H39,I39,L39,M39,P39,Q39,T39,U39,X39,Y39,AB39,AC39,AF39,AG39)=0,"",AL39-AJ39-AK39)</f>
        <v/>
      </c>
      <c r="AN39" s="16">
        <f>IF(COUNT(D39,E39,H39,I39,L39,M39,P39,Q39,T39,U39,X39,Y39,AB39,AC39,AF39,AG39)=0,"",SUM(G39,K39,O39,S39,W39,AA39,AE39,AI39))</f>
        <v/>
      </c>
      <c r="AO39" s="17">
        <f>IF(OR(COUNT(D39,E39,H39,I39,L39,M39,P39,Q39,T39,U39,X39,Y39,AB39,AC39,AF39,AG39)=0,N(AL39)=0),"",AN39/AL39)</f>
        <v/>
      </c>
      <c r="AP39" s="18">
        <f>IF(OR(AO39="",AO38=""),"",AO39-AO38)</f>
        <v/>
      </c>
      <c r="AQ39" s="19">
        <f>IFERROR((IF(Ayarlar!$B$21=Ayarlar!$E$21,N(G39),0)+IF(Ayarlar!$B$22=Ayarlar!$E$21,N(K39),0)+IF(Ayarlar!$B$23=Ayarlar!$E$21,N(O39),0)+IF(Ayarlar!$B$24=Ayarlar!$E$21,N(S39),0)+IF(Ayarlar!$B$25=Ayarlar!$E$21,N(W39),0)+IF(Ayarlar!$B$26=Ayarlar!$E$21,N(AA39),0)+IF(Ayarlar!$B$27=Ayarlar!$E$21,N(AE39),0)+IF(Ayarlar!$B$28=Ayarlar!$E$21,N(AI39),0))/(IF(AND(Ayarlar!$B$21=Ayarlar!$E$21,ISNUMBER(G39)),IF(F39="",Ayarlar!$B$4,F39),0)+IF(AND(Ayarlar!$B$22=Ayarlar!$E$21,ISNUMBER(K39)),IF(J39="",Ayarlar!$B$5,J39),0)+IF(AND(Ayarlar!$B$23=Ayarlar!$E$21,ISNUMBER(O39)),IF(N39="",Ayarlar!$B$6,N39),0)+IF(AND(Ayarlar!$B$24=Ayarlar!$E$21,ISNUMBER(S39)),IF(R39="",Ayarlar!$B$7,R39),0)+IF(AND(Ayarlar!$B$25=Ayarlar!$E$21,ISNUMBER(W39)),IF(V39="",Ayarlar!$B$8,V39),0)+IF(AND(Ayarlar!$B$26=Ayarlar!$E$21,ISNUMBER(AA39)),IF(Z39="",Ayarlar!$B$9,Z39),0)+IF(AND(Ayarlar!$B$27=Ayarlar!$E$21,ISNUMBER(AE39)),IF(AD39="",Ayarlar!$B$10,AD39),0)+IF(AND(Ayarlar!$B$28=Ayarlar!$E$21,ISNUMBER(AI39)),IF(AH39="",Ayarlar!$B$11,AH39),0))*Ayarlar!$F$21,"")</f>
        <v/>
      </c>
      <c r="AR39" s="19">
        <f>IFERROR((IF(Ayarlar!$B$21=Ayarlar!$E$22,N(G39),0)+IF(Ayarlar!$B$22=Ayarlar!$E$22,N(K39),0)+IF(Ayarlar!$B$23=Ayarlar!$E$22,N(O39),0)+IF(Ayarlar!$B$24=Ayarlar!$E$22,N(S39),0)+IF(Ayarlar!$B$25=Ayarlar!$E$22,N(W39),0)+IF(Ayarlar!$B$26=Ayarlar!$E$22,N(AA39),0)+IF(Ayarlar!$B$27=Ayarlar!$E$22,N(AE39),0)+IF(Ayarlar!$B$28=Ayarlar!$E$22,N(AI39),0))/(IF(AND(Ayarlar!$B$21=Ayarlar!$E$22,ISNUMBER(G39)),IF(F39="",Ayarlar!$B$4,F39),0)+IF(AND(Ayarlar!$B$22=Ayarlar!$E$22,ISNUMBER(K39)),IF(J39="",Ayarlar!$B$5,J39),0)+IF(AND(Ayarlar!$B$23=Ayarlar!$E$22,ISNUMBER(O39)),IF(N39="",Ayarlar!$B$6,N39),0)+IF(AND(Ayarlar!$B$24=Ayarlar!$E$22,ISNUMBER(S39)),IF(R39="",Ayarlar!$B$7,R39),0)+IF(AND(Ayarlar!$B$25=Ayarlar!$E$22,ISNUMBER(W39)),IF(V39="",Ayarlar!$B$8,V39),0)+IF(AND(Ayarlar!$B$26=Ayarlar!$E$22,ISNUMBER(AA39)),IF(Z39="",Ayarlar!$B$9,Z39),0)+IF(AND(Ayarlar!$B$27=Ayarlar!$E$22,ISNUMBER(AE39)),IF(AD39="",Ayarlar!$B$10,AD39),0)+IF(AND(Ayarlar!$B$28=Ayarlar!$E$22,ISNUMBER(AI39)),IF(AH39="",Ayarlar!$B$11,AH39),0))*Ayarlar!$F$22,"")</f>
        <v/>
      </c>
      <c r="AS39" s="19">
        <f>IFERROR((IF(Ayarlar!$B$21=Ayarlar!$E$23,N(G39),0)+IF(Ayarlar!$B$22=Ayarlar!$E$23,N(K39),0)+IF(Ayarlar!$B$23=Ayarlar!$E$23,N(O39),0)+IF(Ayarlar!$B$24=Ayarlar!$E$23,N(S39),0)+IF(Ayarlar!$B$25=Ayarlar!$E$23,N(W39),0)+IF(Ayarlar!$B$26=Ayarlar!$E$23,N(AA39),0)+IF(Ayarlar!$B$27=Ayarlar!$E$23,N(AE39),0)+IF(Ayarlar!$B$28=Ayarlar!$E$23,N(AI39),0))/(IF(AND(Ayarlar!$B$21=Ayarlar!$E$23,ISNUMBER(G39)),IF(F39="",Ayarlar!$B$4,F39),0)+IF(AND(Ayarlar!$B$22=Ayarlar!$E$23,ISNUMBER(K39)),IF(J39="",Ayarlar!$B$5,J39),0)+IF(AND(Ayarlar!$B$23=Ayarlar!$E$23,ISNUMBER(O39)),IF(N39="",Ayarlar!$B$6,N39),0)+IF(AND(Ayarlar!$B$24=Ayarlar!$E$23,ISNUMBER(S39)),IF(R39="",Ayarlar!$B$7,R39),0)+IF(AND(Ayarlar!$B$25=Ayarlar!$E$23,ISNUMBER(W39)),IF(V39="",Ayarlar!$B$8,V39),0)+IF(AND(Ayarlar!$B$26=Ayarlar!$E$23,ISNUMBER(AA39)),IF(Z39="",Ayarlar!$B$9,Z39),0)+IF(AND(Ayarlar!$B$27=Ayarlar!$E$23,ISNUMBER(AE39)),IF(AD39="",Ayarlar!$B$10,AD39),0)+IF(AND(Ayarlar!$B$28=Ayarlar!$E$23,ISNUMBER(AI39)),IF(AH39="",Ayarlar!$B$11,AH39),0))*Ayarlar!$F$23,"")</f>
        <v/>
      </c>
      <c r="AT39" s="19">
        <f>IFERROR((IF(Ayarlar!$B$21=Ayarlar!$E$24,N(G39),0)+IF(Ayarlar!$B$22=Ayarlar!$E$24,N(K39),0)+IF(Ayarlar!$B$23=Ayarlar!$E$24,N(O39),0)+IF(Ayarlar!$B$24=Ayarlar!$E$24,N(S39),0)+IF(Ayarlar!$B$25=Ayarlar!$E$24,N(W39),0)+IF(Ayarlar!$B$26=Ayarlar!$E$24,N(AA39),0)+IF(Ayarlar!$B$27=Ayarlar!$E$24,N(AE39),0)+IF(Ayarlar!$B$28=Ayarlar!$E$24,N(AI39),0))/(IF(AND(Ayarlar!$B$21=Ayarlar!$E$24,ISNUMBER(G39)),IF(F39="",Ayarlar!$B$4,F39),0)+IF(AND(Ayarlar!$B$22=Ayarlar!$E$24,ISNUMBER(K39)),IF(J39="",Ayarlar!$B$5,J39),0)+IF(AND(Ayarlar!$B$23=Ayarlar!$E$24,ISNUMBER(O39)),IF(N39="",Ayarlar!$B$6,N39),0)+IF(AND(Ayarlar!$B$24=Ayarlar!$E$24,ISNUMBER(S39)),IF(R39="",Ayarlar!$B$7,R39),0)+IF(AND(Ayarlar!$B$25=Ayarlar!$E$24,ISNUMBER(W39)),IF(V39="",Ayarlar!$B$8,V39),0)+IF(AND(Ayarlar!$B$26=Ayarlar!$E$24,ISNUMBER(AA39)),IF(Z39="",Ayarlar!$B$9,Z39),0)+IF(AND(Ayarlar!$B$27=Ayarlar!$E$24,ISNUMBER(AE39)),IF(AD39="",Ayarlar!$B$10,AD39),0)+IF(AND(Ayarlar!$B$28=Ayarlar!$E$24,ISNUMBER(AI39)),IF(AH39="",Ayarlar!$B$11,AH39),0))*Ayarlar!$F$24,"")</f>
        <v/>
      </c>
      <c r="AU39" s="20">
        <f>IF(COUNT(AQ39,AR39,AS39,AT39)&lt;4,"",Ayarlar!$F$25+AQ39*Ayarlar!$G$21+AR39*Ayarlar!$G$22+AS39*Ayarlar!$G$23+AT39*Ayarlar!$G$24)</f>
        <v/>
      </c>
    </row>
    <row r="40">
      <c r="A40" s="10" t="n">
        <v>36</v>
      </c>
      <c r="B40" s="11" t="n"/>
      <c r="C40" s="4" t="n"/>
      <c r="D40" s="12" t="n"/>
      <c r="E40" s="12" t="n"/>
      <c r="F40" s="13" t="n"/>
      <c r="G40" s="14">
        <f>IF(AND(D40="",E40=""),"",D40-IF(Ayarlar!$B$16&gt;0,E40/Ayarlar!$B$16,0))</f>
        <v/>
      </c>
      <c r="H40" s="12" t="n"/>
      <c r="I40" s="12" t="n"/>
      <c r="J40" s="13" t="n"/>
      <c r="K40" s="14">
        <f>IF(AND(H40="",I40=""),"",H40-IF(Ayarlar!$B$16&gt;0,I40/Ayarlar!$B$16,0))</f>
        <v/>
      </c>
      <c r="L40" s="12" t="n"/>
      <c r="M40" s="12" t="n"/>
      <c r="N40" s="13" t="n"/>
      <c r="O40" s="14">
        <f>IF(AND(L40="",M40=""),"",L40-IF(Ayarlar!$B$16&gt;0,M40/Ayarlar!$B$16,0))</f>
        <v/>
      </c>
      <c r="P40" s="12" t="n"/>
      <c r="Q40" s="12" t="n"/>
      <c r="R40" s="13" t="n"/>
      <c r="S40" s="14">
        <f>IF(AND(P40="",Q40=""),"",P40-IF(Ayarlar!$B$16&gt;0,Q40/Ayarlar!$B$16,0))</f>
        <v/>
      </c>
      <c r="T40" s="12" t="n"/>
      <c r="U40" s="12" t="n"/>
      <c r="V40" s="13" t="n"/>
      <c r="W40" s="14">
        <f>IF(AND(T40="",U40=""),"",T40-IF(Ayarlar!$B$16&gt;0,U40/Ayarlar!$B$16,0))</f>
        <v/>
      </c>
      <c r="X40" s="12" t="n"/>
      <c r="Y40" s="12" t="n"/>
      <c r="Z40" s="13" t="n"/>
      <c r="AA40" s="14">
        <f>IF(AND(X40="",Y40=""),"",X40-IF(Ayarlar!$B$16&gt;0,Y40/Ayarlar!$B$16,0))</f>
        <v/>
      </c>
      <c r="AB40" s="12" t="n"/>
      <c r="AC40" s="12" t="n"/>
      <c r="AD40" s="13" t="n"/>
      <c r="AE40" s="14">
        <f>IF(AND(AB40="",AC40=""),"",AB40-IF(Ayarlar!$B$16&gt;0,AC40/Ayarlar!$B$16,0))</f>
        <v/>
      </c>
      <c r="AF40" s="12" t="n"/>
      <c r="AG40" s="12" t="n"/>
      <c r="AH40" s="13" t="n"/>
      <c r="AI40" s="14">
        <f>IF(AND(AF40="",AG40=""),"",AF40-IF(Ayarlar!$B$16&gt;0,AG40/Ayarlar!$B$16,0))</f>
        <v/>
      </c>
      <c r="AJ40" s="15">
        <f>IF(COUNT(D40,E40,H40,I40,L40,M40,P40,Q40,T40,U40,X40,Y40,AB40,AC40,AF40,AG40)=0,"",D40+H40+L40+P40+T40+X40+AB40+AF40)</f>
        <v/>
      </c>
      <c r="AK40" s="15">
        <f>IF(COUNT(D40,E40,H40,I40,L40,M40,P40,Q40,T40,U40,X40,Y40,AB40,AC40,AF40,AG40)=0,"",E40+I40+M40+Q40+U40+Y40+AC40+AG40)</f>
        <v/>
      </c>
      <c r="AL40" s="15">
        <f>IF(COUNT(D40,E40,H40,I40,L40,M40,P40,Q40,T40,U40,X40,Y40,AB40,AC40,AF40,AG40)=0,"",IF(ISNUMBER(G40),IF(F40="",Ayarlar!$B$4,F40),0)+IF(ISNUMBER(K40),IF(J40="",Ayarlar!$B$5,J40),0)+IF(ISNUMBER(O40),IF(N40="",Ayarlar!$B$6,N40),0)+IF(ISNUMBER(S40),IF(R40="",Ayarlar!$B$7,R40),0)+IF(ISNUMBER(W40),IF(V40="",Ayarlar!$B$8,V40),0)+IF(ISNUMBER(AA40),IF(Z40="",Ayarlar!$B$9,Z40),0)+IF(ISNUMBER(AE40),IF(AD40="",Ayarlar!$B$10,AD40),0)+IF(ISNUMBER(AI40),IF(AH40="",Ayarlar!$B$11,AH40),0))</f>
        <v/>
      </c>
      <c r="AM40" s="15">
        <f>IF(COUNT(D40,E40,H40,I40,L40,M40,P40,Q40,T40,U40,X40,Y40,AB40,AC40,AF40,AG40)=0,"",AL40-AJ40-AK40)</f>
        <v/>
      </c>
      <c r="AN40" s="16">
        <f>IF(COUNT(D40,E40,H40,I40,L40,M40,P40,Q40,T40,U40,X40,Y40,AB40,AC40,AF40,AG40)=0,"",SUM(G40,K40,O40,S40,W40,AA40,AE40,AI40))</f>
        <v/>
      </c>
      <c r="AO40" s="17">
        <f>IF(OR(COUNT(D40,E40,H40,I40,L40,M40,P40,Q40,T40,U40,X40,Y40,AB40,AC40,AF40,AG40)=0,N(AL40)=0),"",AN40/AL40)</f>
        <v/>
      </c>
      <c r="AP40" s="18">
        <f>IF(OR(AO40="",AO39=""),"",AO40-AO39)</f>
        <v/>
      </c>
      <c r="AQ40" s="19">
        <f>IFERROR((IF(Ayarlar!$B$21=Ayarlar!$E$21,N(G40),0)+IF(Ayarlar!$B$22=Ayarlar!$E$21,N(K40),0)+IF(Ayarlar!$B$23=Ayarlar!$E$21,N(O40),0)+IF(Ayarlar!$B$24=Ayarlar!$E$21,N(S40),0)+IF(Ayarlar!$B$25=Ayarlar!$E$21,N(W40),0)+IF(Ayarlar!$B$26=Ayarlar!$E$21,N(AA40),0)+IF(Ayarlar!$B$27=Ayarlar!$E$21,N(AE40),0)+IF(Ayarlar!$B$28=Ayarlar!$E$21,N(AI40),0))/(IF(AND(Ayarlar!$B$21=Ayarlar!$E$21,ISNUMBER(G40)),IF(F40="",Ayarlar!$B$4,F40),0)+IF(AND(Ayarlar!$B$22=Ayarlar!$E$21,ISNUMBER(K40)),IF(J40="",Ayarlar!$B$5,J40),0)+IF(AND(Ayarlar!$B$23=Ayarlar!$E$21,ISNUMBER(O40)),IF(N40="",Ayarlar!$B$6,N40),0)+IF(AND(Ayarlar!$B$24=Ayarlar!$E$21,ISNUMBER(S40)),IF(R40="",Ayarlar!$B$7,R40),0)+IF(AND(Ayarlar!$B$25=Ayarlar!$E$21,ISNUMBER(W40)),IF(V40="",Ayarlar!$B$8,V40),0)+IF(AND(Ayarlar!$B$26=Ayarlar!$E$21,ISNUMBER(AA40)),IF(Z40="",Ayarlar!$B$9,Z40),0)+IF(AND(Ayarlar!$B$27=Ayarlar!$E$21,ISNUMBER(AE40)),IF(AD40="",Ayarlar!$B$10,AD40),0)+IF(AND(Ayarlar!$B$28=Ayarlar!$E$21,ISNUMBER(AI40)),IF(AH40="",Ayarlar!$B$11,AH40),0))*Ayarlar!$F$21,"")</f>
        <v/>
      </c>
      <c r="AR40" s="19">
        <f>IFERROR((IF(Ayarlar!$B$21=Ayarlar!$E$22,N(G40),0)+IF(Ayarlar!$B$22=Ayarlar!$E$22,N(K40),0)+IF(Ayarlar!$B$23=Ayarlar!$E$22,N(O40),0)+IF(Ayarlar!$B$24=Ayarlar!$E$22,N(S40),0)+IF(Ayarlar!$B$25=Ayarlar!$E$22,N(W40),0)+IF(Ayarlar!$B$26=Ayarlar!$E$22,N(AA40),0)+IF(Ayarlar!$B$27=Ayarlar!$E$22,N(AE40),0)+IF(Ayarlar!$B$28=Ayarlar!$E$22,N(AI40),0))/(IF(AND(Ayarlar!$B$21=Ayarlar!$E$22,ISNUMBER(G40)),IF(F40="",Ayarlar!$B$4,F40),0)+IF(AND(Ayarlar!$B$22=Ayarlar!$E$22,ISNUMBER(K40)),IF(J40="",Ayarlar!$B$5,J40),0)+IF(AND(Ayarlar!$B$23=Ayarlar!$E$22,ISNUMBER(O40)),IF(N40="",Ayarlar!$B$6,N40),0)+IF(AND(Ayarlar!$B$24=Ayarlar!$E$22,ISNUMBER(S40)),IF(R40="",Ayarlar!$B$7,R40),0)+IF(AND(Ayarlar!$B$25=Ayarlar!$E$22,ISNUMBER(W40)),IF(V40="",Ayarlar!$B$8,V40),0)+IF(AND(Ayarlar!$B$26=Ayarlar!$E$22,ISNUMBER(AA40)),IF(Z40="",Ayarlar!$B$9,Z40),0)+IF(AND(Ayarlar!$B$27=Ayarlar!$E$22,ISNUMBER(AE40)),IF(AD40="",Ayarlar!$B$10,AD40),0)+IF(AND(Ayarlar!$B$28=Ayarlar!$E$22,ISNUMBER(AI40)),IF(AH40="",Ayarlar!$B$11,AH40),0))*Ayarlar!$F$22,"")</f>
        <v/>
      </c>
      <c r="AS40" s="19">
        <f>IFERROR((IF(Ayarlar!$B$21=Ayarlar!$E$23,N(G40),0)+IF(Ayarlar!$B$22=Ayarlar!$E$23,N(K40),0)+IF(Ayarlar!$B$23=Ayarlar!$E$23,N(O40),0)+IF(Ayarlar!$B$24=Ayarlar!$E$23,N(S40),0)+IF(Ayarlar!$B$25=Ayarlar!$E$23,N(W40),0)+IF(Ayarlar!$B$26=Ayarlar!$E$23,N(AA40),0)+IF(Ayarlar!$B$27=Ayarlar!$E$23,N(AE40),0)+IF(Ayarlar!$B$28=Ayarlar!$E$23,N(AI40),0))/(IF(AND(Ayarlar!$B$21=Ayarlar!$E$23,ISNUMBER(G40)),IF(F40="",Ayarlar!$B$4,F40),0)+IF(AND(Ayarlar!$B$22=Ayarlar!$E$23,ISNUMBER(K40)),IF(J40="",Ayarlar!$B$5,J40),0)+IF(AND(Ayarlar!$B$23=Ayarlar!$E$23,ISNUMBER(O40)),IF(N40="",Ayarlar!$B$6,N40),0)+IF(AND(Ayarlar!$B$24=Ayarlar!$E$23,ISNUMBER(S40)),IF(R40="",Ayarlar!$B$7,R40),0)+IF(AND(Ayarlar!$B$25=Ayarlar!$E$23,ISNUMBER(W40)),IF(V40="",Ayarlar!$B$8,V40),0)+IF(AND(Ayarlar!$B$26=Ayarlar!$E$23,ISNUMBER(AA40)),IF(Z40="",Ayarlar!$B$9,Z40),0)+IF(AND(Ayarlar!$B$27=Ayarlar!$E$23,ISNUMBER(AE40)),IF(AD40="",Ayarlar!$B$10,AD40),0)+IF(AND(Ayarlar!$B$28=Ayarlar!$E$23,ISNUMBER(AI40)),IF(AH40="",Ayarlar!$B$11,AH40),0))*Ayarlar!$F$23,"")</f>
        <v/>
      </c>
      <c r="AT40" s="19">
        <f>IFERROR((IF(Ayarlar!$B$21=Ayarlar!$E$24,N(G40),0)+IF(Ayarlar!$B$22=Ayarlar!$E$24,N(K40),0)+IF(Ayarlar!$B$23=Ayarlar!$E$24,N(O40),0)+IF(Ayarlar!$B$24=Ayarlar!$E$24,N(S40),0)+IF(Ayarlar!$B$25=Ayarlar!$E$24,N(W40),0)+IF(Ayarlar!$B$26=Ayarlar!$E$24,N(AA40),0)+IF(Ayarlar!$B$27=Ayarlar!$E$24,N(AE40),0)+IF(Ayarlar!$B$28=Ayarlar!$E$24,N(AI40),0))/(IF(AND(Ayarlar!$B$21=Ayarlar!$E$24,ISNUMBER(G40)),IF(F40="",Ayarlar!$B$4,F40),0)+IF(AND(Ayarlar!$B$22=Ayarlar!$E$24,ISNUMBER(K40)),IF(J40="",Ayarlar!$B$5,J40),0)+IF(AND(Ayarlar!$B$23=Ayarlar!$E$24,ISNUMBER(O40)),IF(N40="",Ayarlar!$B$6,N40),0)+IF(AND(Ayarlar!$B$24=Ayarlar!$E$24,ISNUMBER(S40)),IF(R40="",Ayarlar!$B$7,R40),0)+IF(AND(Ayarlar!$B$25=Ayarlar!$E$24,ISNUMBER(W40)),IF(V40="",Ayarlar!$B$8,V40),0)+IF(AND(Ayarlar!$B$26=Ayarlar!$E$24,ISNUMBER(AA40)),IF(Z40="",Ayarlar!$B$9,Z40),0)+IF(AND(Ayarlar!$B$27=Ayarlar!$E$24,ISNUMBER(AE40)),IF(AD40="",Ayarlar!$B$10,AD40),0)+IF(AND(Ayarlar!$B$28=Ayarlar!$E$24,ISNUMBER(AI40)),IF(AH40="",Ayarlar!$B$11,AH40),0))*Ayarlar!$F$24,"")</f>
        <v/>
      </c>
      <c r="AU40" s="20">
        <f>IF(COUNT(AQ40,AR40,AS40,AT40)&lt;4,"",Ayarlar!$F$25+AQ40*Ayarlar!$G$21+AR40*Ayarlar!$G$22+AS40*Ayarlar!$G$23+AT40*Ayarlar!$G$24)</f>
        <v/>
      </c>
    </row>
    <row r="41">
      <c r="A41" s="10" t="n">
        <v>37</v>
      </c>
      <c r="B41" s="11" t="n"/>
      <c r="C41" s="4" t="n"/>
      <c r="D41" s="12" t="n"/>
      <c r="E41" s="12" t="n"/>
      <c r="F41" s="13" t="n"/>
      <c r="G41" s="14">
        <f>IF(AND(D41="",E41=""),"",D41-IF(Ayarlar!$B$16&gt;0,E41/Ayarlar!$B$16,0))</f>
        <v/>
      </c>
      <c r="H41" s="12" t="n"/>
      <c r="I41" s="12" t="n"/>
      <c r="J41" s="13" t="n"/>
      <c r="K41" s="14">
        <f>IF(AND(H41="",I41=""),"",H41-IF(Ayarlar!$B$16&gt;0,I41/Ayarlar!$B$16,0))</f>
        <v/>
      </c>
      <c r="L41" s="12" t="n"/>
      <c r="M41" s="12" t="n"/>
      <c r="N41" s="13" t="n"/>
      <c r="O41" s="14">
        <f>IF(AND(L41="",M41=""),"",L41-IF(Ayarlar!$B$16&gt;0,M41/Ayarlar!$B$16,0))</f>
        <v/>
      </c>
      <c r="P41" s="12" t="n"/>
      <c r="Q41" s="12" t="n"/>
      <c r="R41" s="13" t="n"/>
      <c r="S41" s="14">
        <f>IF(AND(P41="",Q41=""),"",P41-IF(Ayarlar!$B$16&gt;0,Q41/Ayarlar!$B$16,0))</f>
        <v/>
      </c>
      <c r="T41" s="12" t="n"/>
      <c r="U41" s="12" t="n"/>
      <c r="V41" s="13" t="n"/>
      <c r="W41" s="14">
        <f>IF(AND(T41="",U41=""),"",T41-IF(Ayarlar!$B$16&gt;0,U41/Ayarlar!$B$16,0))</f>
        <v/>
      </c>
      <c r="X41" s="12" t="n"/>
      <c r="Y41" s="12" t="n"/>
      <c r="Z41" s="13" t="n"/>
      <c r="AA41" s="14">
        <f>IF(AND(X41="",Y41=""),"",X41-IF(Ayarlar!$B$16&gt;0,Y41/Ayarlar!$B$16,0))</f>
        <v/>
      </c>
      <c r="AB41" s="12" t="n"/>
      <c r="AC41" s="12" t="n"/>
      <c r="AD41" s="13" t="n"/>
      <c r="AE41" s="14">
        <f>IF(AND(AB41="",AC41=""),"",AB41-IF(Ayarlar!$B$16&gt;0,AC41/Ayarlar!$B$16,0))</f>
        <v/>
      </c>
      <c r="AF41" s="12" t="n"/>
      <c r="AG41" s="12" t="n"/>
      <c r="AH41" s="13" t="n"/>
      <c r="AI41" s="14">
        <f>IF(AND(AF41="",AG41=""),"",AF41-IF(Ayarlar!$B$16&gt;0,AG41/Ayarlar!$B$16,0))</f>
        <v/>
      </c>
      <c r="AJ41" s="15">
        <f>IF(COUNT(D41,E41,H41,I41,L41,M41,P41,Q41,T41,U41,X41,Y41,AB41,AC41,AF41,AG41)=0,"",D41+H41+L41+P41+T41+X41+AB41+AF41)</f>
        <v/>
      </c>
      <c r="AK41" s="15">
        <f>IF(COUNT(D41,E41,H41,I41,L41,M41,P41,Q41,T41,U41,X41,Y41,AB41,AC41,AF41,AG41)=0,"",E41+I41+M41+Q41+U41+Y41+AC41+AG41)</f>
        <v/>
      </c>
      <c r="AL41" s="15">
        <f>IF(COUNT(D41,E41,H41,I41,L41,M41,P41,Q41,T41,U41,X41,Y41,AB41,AC41,AF41,AG41)=0,"",IF(ISNUMBER(G41),IF(F41="",Ayarlar!$B$4,F41),0)+IF(ISNUMBER(K41),IF(J41="",Ayarlar!$B$5,J41),0)+IF(ISNUMBER(O41),IF(N41="",Ayarlar!$B$6,N41),0)+IF(ISNUMBER(S41),IF(R41="",Ayarlar!$B$7,R41),0)+IF(ISNUMBER(W41),IF(V41="",Ayarlar!$B$8,V41),0)+IF(ISNUMBER(AA41),IF(Z41="",Ayarlar!$B$9,Z41),0)+IF(ISNUMBER(AE41),IF(AD41="",Ayarlar!$B$10,AD41),0)+IF(ISNUMBER(AI41),IF(AH41="",Ayarlar!$B$11,AH41),0))</f>
        <v/>
      </c>
      <c r="AM41" s="15">
        <f>IF(COUNT(D41,E41,H41,I41,L41,M41,P41,Q41,T41,U41,X41,Y41,AB41,AC41,AF41,AG41)=0,"",AL41-AJ41-AK41)</f>
        <v/>
      </c>
      <c r="AN41" s="16">
        <f>IF(COUNT(D41,E41,H41,I41,L41,M41,P41,Q41,T41,U41,X41,Y41,AB41,AC41,AF41,AG41)=0,"",SUM(G41,K41,O41,S41,W41,AA41,AE41,AI41))</f>
        <v/>
      </c>
      <c r="AO41" s="17">
        <f>IF(OR(COUNT(D41,E41,H41,I41,L41,M41,P41,Q41,T41,U41,X41,Y41,AB41,AC41,AF41,AG41)=0,N(AL41)=0),"",AN41/AL41)</f>
        <v/>
      </c>
      <c r="AP41" s="18">
        <f>IF(OR(AO41="",AO40=""),"",AO41-AO40)</f>
        <v/>
      </c>
      <c r="AQ41" s="19">
        <f>IFERROR((IF(Ayarlar!$B$21=Ayarlar!$E$21,N(G41),0)+IF(Ayarlar!$B$22=Ayarlar!$E$21,N(K41),0)+IF(Ayarlar!$B$23=Ayarlar!$E$21,N(O41),0)+IF(Ayarlar!$B$24=Ayarlar!$E$21,N(S41),0)+IF(Ayarlar!$B$25=Ayarlar!$E$21,N(W41),0)+IF(Ayarlar!$B$26=Ayarlar!$E$21,N(AA41),0)+IF(Ayarlar!$B$27=Ayarlar!$E$21,N(AE41),0)+IF(Ayarlar!$B$28=Ayarlar!$E$21,N(AI41),0))/(IF(AND(Ayarlar!$B$21=Ayarlar!$E$21,ISNUMBER(G41)),IF(F41="",Ayarlar!$B$4,F41),0)+IF(AND(Ayarlar!$B$22=Ayarlar!$E$21,ISNUMBER(K41)),IF(J41="",Ayarlar!$B$5,J41),0)+IF(AND(Ayarlar!$B$23=Ayarlar!$E$21,ISNUMBER(O41)),IF(N41="",Ayarlar!$B$6,N41),0)+IF(AND(Ayarlar!$B$24=Ayarlar!$E$21,ISNUMBER(S41)),IF(R41="",Ayarlar!$B$7,R41),0)+IF(AND(Ayarlar!$B$25=Ayarlar!$E$21,ISNUMBER(W41)),IF(V41="",Ayarlar!$B$8,V41),0)+IF(AND(Ayarlar!$B$26=Ayarlar!$E$21,ISNUMBER(AA41)),IF(Z41="",Ayarlar!$B$9,Z41),0)+IF(AND(Ayarlar!$B$27=Ayarlar!$E$21,ISNUMBER(AE41)),IF(AD41="",Ayarlar!$B$10,AD41),0)+IF(AND(Ayarlar!$B$28=Ayarlar!$E$21,ISNUMBER(AI41)),IF(AH41="",Ayarlar!$B$11,AH41),0))*Ayarlar!$F$21,"")</f>
        <v/>
      </c>
      <c r="AR41" s="19">
        <f>IFERROR((IF(Ayarlar!$B$21=Ayarlar!$E$22,N(G41),0)+IF(Ayarlar!$B$22=Ayarlar!$E$22,N(K41),0)+IF(Ayarlar!$B$23=Ayarlar!$E$22,N(O41),0)+IF(Ayarlar!$B$24=Ayarlar!$E$22,N(S41),0)+IF(Ayarlar!$B$25=Ayarlar!$E$22,N(W41),0)+IF(Ayarlar!$B$26=Ayarlar!$E$22,N(AA41),0)+IF(Ayarlar!$B$27=Ayarlar!$E$22,N(AE41),0)+IF(Ayarlar!$B$28=Ayarlar!$E$22,N(AI41),0))/(IF(AND(Ayarlar!$B$21=Ayarlar!$E$22,ISNUMBER(G41)),IF(F41="",Ayarlar!$B$4,F41),0)+IF(AND(Ayarlar!$B$22=Ayarlar!$E$22,ISNUMBER(K41)),IF(J41="",Ayarlar!$B$5,J41),0)+IF(AND(Ayarlar!$B$23=Ayarlar!$E$22,ISNUMBER(O41)),IF(N41="",Ayarlar!$B$6,N41),0)+IF(AND(Ayarlar!$B$24=Ayarlar!$E$22,ISNUMBER(S41)),IF(R41="",Ayarlar!$B$7,R41),0)+IF(AND(Ayarlar!$B$25=Ayarlar!$E$22,ISNUMBER(W41)),IF(V41="",Ayarlar!$B$8,V41),0)+IF(AND(Ayarlar!$B$26=Ayarlar!$E$22,ISNUMBER(AA41)),IF(Z41="",Ayarlar!$B$9,Z41),0)+IF(AND(Ayarlar!$B$27=Ayarlar!$E$22,ISNUMBER(AE41)),IF(AD41="",Ayarlar!$B$10,AD41),0)+IF(AND(Ayarlar!$B$28=Ayarlar!$E$22,ISNUMBER(AI41)),IF(AH41="",Ayarlar!$B$11,AH41),0))*Ayarlar!$F$22,"")</f>
        <v/>
      </c>
      <c r="AS41" s="19">
        <f>IFERROR((IF(Ayarlar!$B$21=Ayarlar!$E$23,N(G41),0)+IF(Ayarlar!$B$22=Ayarlar!$E$23,N(K41),0)+IF(Ayarlar!$B$23=Ayarlar!$E$23,N(O41),0)+IF(Ayarlar!$B$24=Ayarlar!$E$23,N(S41),0)+IF(Ayarlar!$B$25=Ayarlar!$E$23,N(W41),0)+IF(Ayarlar!$B$26=Ayarlar!$E$23,N(AA41),0)+IF(Ayarlar!$B$27=Ayarlar!$E$23,N(AE41),0)+IF(Ayarlar!$B$28=Ayarlar!$E$23,N(AI41),0))/(IF(AND(Ayarlar!$B$21=Ayarlar!$E$23,ISNUMBER(G41)),IF(F41="",Ayarlar!$B$4,F41),0)+IF(AND(Ayarlar!$B$22=Ayarlar!$E$23,ISNUMBER(K41)),IF(J41="",Ayarlar!$B$5,J41),0)+IF(AND(Ayarlar!$B$23=Ayarlar!$E$23,ISNUMBER(O41)),IF(N41="",Ayarlar!$B$6,N41),0)+IF(AND(Ayarlar!$B$24=Ayarlar!$E$23,ISNUMBER(S41)),IF(R41="",Ayarlar!$B$7,R41),0)+IF(AND(Ayarlar!$B$25=Ayarlar!$E$23,ISNUMBER(W41)),IF(V41="",Ayarlar!$B$8,V41),0)+IF(AND(Ayarlar!$B$26=Ayarlar!$E$23,ISNUMBER(AA41)),IF(Z41="",Ayarlar!$B$9,Z41),0)+IF(AND(Ayarlar!$B$27=Ayarlar!$E$23,ISNUMBER(AE41)),IF(AD41="",Ayarlar!$B$10,AD41),0)+IF(AND(Ayarlar!$B$28=Ayarlar!$E$23,ISNUMBER(AI41)),IF(AH41="",Ayarlar!$B$11,AH41),0))*Ayarlar!$F$23,"")</f>
        <v/>
      </c>
      <c r="AT41" s="19">
        <f>IFERROR((IF(Ayarlar!$B$21=Ayarlar!$E$24,N(G41),0)+IF(Ayarlar!$B$22=Ayarlar!$E$24,N(K41),0)+IF(Ayarlar!$B$23=Ayarlar!$E$24,N(O41),0)+IF(Ayarlar!$B$24=Ayarlar!$E$24,N(S41),0)+IF(Ayarlar!$B$25=Ayarlar!$E$24,N(W41),0)+IF(Ayarlar!$B$26=Ayarlar!$E$24,N(AA41),0)+IF(Ayarlar!$B$27=Ayarlar!$E$24,N(AE41),0)+IF(Ayarlar!$B$28=Ayarlar!$E$24,N(AI41),0))/(IF(AND(Ayarlar!$B$21=Ayarlar!$E$24,ISNUMBER(G41)),IF(F41="",Ayarlar!$B$4,F41),0)+IF(AND(Ayarlar!$B$22=Ayarlar!$E$24,ISNUMBER(K41)),IF(J41="",Ayarlar!$B$5,J41),0)+IF(AND(Ayarlar!$B$23=Ayarlar!$E$24,ISNUMBER(O41)),IF(N41="",Ayarlar!$B$6,N41),0)+IF(AND(Ayarlar!$B$24=Ayarlar!$E$24,ISNUMBER(S41)),IF(R41="",Ayarlar!$B$7,R41),0)+IF(AND(Ayarlar!$B$25=Ayarlar!$E$24,ISNUMBER(W41)),IF(V41="",Ayarlar!$B$8,V41),0)+IF(AND(Ayarlar!$B$26=Ayarlar!$E$24,ISNUMBER(AA41)),IF(Z41="",Ayarlar!$B$9,Z41),0)+IF(AND(Ayarlar!$B$27=Ayarlar!$E$24,ISNUMBER(AE41)),IF(AD41="",Ayarlar!$B$10,AD41),0)+IF(AND(Ayarlar!$B$28=Ayarlar!$E$24,ISNUMBER(AI41)),IF(AH41="",Ayarlar!$B$11,AH41),0))*Ayarlar!$F$24,"")</f>
        <v/>
      </c>
      <c r="AU41" s="20">
        <f>IF(COUNT(AQ41,AR41,AS41,AT41)&lt;4,"",Ayarlar!$F$25+AQ41*Ayarlar!$G$21+AR41*Ayarlar!$G$22+AS41*Ayarlar!$G$23+AT41*Ayarlar!$G$24)</f>
        <v/>
      </c>
    </row>
    <row r="42">
      <c r="A42" s="10" t="n">
        <v>38</v>
      </c>
      <c r="B42" s="11" t="n"/>
      <c r="C42" s="4" t="n"/>
      <c r="D42" s="12" t="n"/>
      <c r="E42" s="12" t="n"/>
      <c r="F42" s="13" t="n"/>
      <c r="G42" s="14">
        <f>IF(AND(D42="",E42=""),"",D42-IF(Ayarlar!$B$16&gt;0,E42/Ayarlar!$B$16,0))</f>
        <v/>
      </c>
      <c r="H42" s="12" t="n"/>
      <c r="I42" s="12" t="n"/>
      <c r="J42" s="13" t="n"/>
      <c r="K42" s="14">
        <f>IF(AND(H42="",I42=""),"",H42-IF(Ayarlar!$B$16&gt;0,I42/Ayarlar!$B$16,0))</f>
        <v/>
      </c>
      <c r="L42" s="12" t="n"/>
      <c r="M42" s="12" t="n"/>
      <c r="N42" s="13" t="n"/>
      <c r="O42" s="14">
        <f>IF(AND(L42="",M42=""),"",L42-IF(Ayarlar!$B$16&gt;0,M42/Ayarlar!$B$16,0))</f>
        <v/>
      </c>
      <c r="P42" s="12" t="n"/>
      <c r="Q42" s="12" t="n"/>
      <c r="R42" s="13" t="n"/>
      <c r="S42" s="14">
        <f>IF(AND(P42="",Q42=""),"",P42-IF(Ayarlar!$B$16&gt;0,Q42/Ayarlar!$B$16,0))</f>
        <v/>
      </c>
      <c r="T42" s="12" t="n"/>
      <c r="U42" s="12" t="n"/>
      <c r="V42" s="13" t="n"/>
      <c r="W42" s="14">
        <f>IF(AND(T42="",U42=""),"",T42-IF(Ayarlar!$B$16&gt;0,U42/Ayarlar!$B$16,0))</f>
        <v/>
      </c>
      <c r="X42" s="12" t="n"/>
      <c r="Y42" s="12" t="n"/>
      <c r="Z42" s="13" t="n"/>
      <c r="AA42" s="14">
        <f>IF(AND(X42="",Y42=""),"",X42-IF(Ayarlar!$B$16&gt;0,Y42/Ayarlar!$B$16,0))</f>
        <v/>
      </c>
      <c r="AB42" s="12" t="n"/>
      <c r="AC42" s="12" t="n"/>
      <c r="AD42" s="13" t="n"/>
      <c r="AE42" s="14">
        <f>IF(AND(AB42="",AC42=""),"",AB42-IF(Ayarlar!$B$16&gt;0,AC42/Ayarlar!$B$16,0))</f>
        <v/>
      </c>
      <c r="AF42" s="12" t="n"/>
      <c r="AG42" s="12" t="n"/>
      <c r="AH42" s="13" t="n"/>
      <c r="AI42" s="14">
        <f>IF(AND(AF42="",AG42=""),"",AF42-IF(Ayarlar!$B$16&gt;0,AG42/Ayarlar!$B$16,0))</f>
        <v/>
      </c>
      <c r="AJ42" s="15">
        <f>IF(COUNT(D42,E42,H42,I42,L42,M42,P42,Q42,T42,U42,X42,Y42,AB42,AC42,AF42,AG42)=0,"",D42+H42+L42+P42+T42+X42+AB42+AF42)</f>
        <v/>
      </c>
      <c r="AK42" s="15">
        <f>IF(COUNT(D42,E42,H42,I42,L42,M42,P42,Q42,T42,U42,X42,Y42,AB42,AC42,AF42,AG42)=0,"",E42+I42+M42+Q42+U42+Y42+AC42+AG42)</f>
        <v/>
      </c>
      <c r="AL42" s="15">
        <f>IF(COUNT(D42,E42,H42,I42,L42,M42,P42,Q42,T42,U42,X42,Y42,AB42,AC42,AF42,AG42)=0,"",IF(ISNUMBER(G42),IF(F42="",Ayarlar!$B$4,F42),0)+IF(ISNUMBER(K42),IF(J42="",Ayarlar!$B$5,J42),0)+IF(ISNUMBER(O42),IF(N42="",Ayarlar!$B$6,N42),0)+IF(ISNUMBER(S42),IF(R42="",Ayarlar!$B$7,R42),0)+IF(ISNUMBER(W42),IF(V42="",Ayarlar!$B$8,V42),0)+IF(ISNUMBER(AA42),IF(Z42="",Ayarlar!$B$9,Z42),0)+IF(ISNUMBER(AE42),IF(AD42="",Ayarlar!$B$10,AD42),0)+IF(ISNUMBER(AI42),IF(AH42="",Ayarlar!$B$11,AH42),0))</f>
        <v/>
      </c>
      <c r="AM42" s="15">
        <f>IF(COUNT(D42,E42,H42,I42,L42,M42,P42,Q42,T42,U42,X42,Y42,AB42,AC42,AF42,AG42)=0,"",AL42-AJ42-AK42)</f>
        <v/>
      </c>
      <c r="AN42" s="16">
        <f>IF(COUNT(D42,E42,H42,I42,L42,M42,P42,Q42,T42,U42,X42,Y42,AB42,AC42,AF42,AG42)=0,"",SUM(G42,K42,O42,S42,W42,AA42,AE42,AI42))</f>
        <v/>
      </c>
      <c r="AO42" s="17">
        <f>IF(OR(COUNT(D42,E42,H42,I42,L42,M42,P42,Q42,T42,U42,X42,Y42,AB42,AC42,AF42,AG42)=0,N(AL42)=0),"",AN42/AL42)</f>
        <v/>
      </c>
      <c r="AP42" s="18">
        <f>IF(OR(AO42="",AO41=""),"",AO42-AO41)</f>
        <v/>
      </c>
      <c r="AQ42" s="19">
        <f>IFERROR((IF(Ayarlar!$B$21=Ayarlar!$E$21,N(G42),0)+IF(Ayarlar!$B$22=Ayarlar!$E$21,N(K42),0)+IF(Ayarlar!$B$23=Ayarlar!$E$21,N(O42),0)+IF(Ayarlar!$B$24=Ayarlar!$E$21,N(S42),0)+IF(Ayarlar!$B$25=Ayarlar!$E$21,N(W42),0)+IF(Ayarlar!$B$26=Ayarlar!$E$21,N(AA42),0)+IF(Ayarlar!$B$27=Ayarlar!$E$21,N(AE42),0)+IF(Ayarlar!$B$28=Ayarlar!$E$21,N(AI42),0))/(IF(AND(Ayarlar!$B$21=Ayarlar!$E$21,ISNUMBER(G42)),IF(F42="",Ayarlar!$B$4,F42),0)+IF(AND(Ayarlar!$B$22=Ayarlar!$E$21,ISNUMBER(K42)),IF(J42="",Ayarlar!$B$5,J42),0)+IF(AND(Ayarlar!$B$23=Ayarlar!$E$21,ISNUMBER(O42)),IF(N42="",Ayarlar!$B$6,N42),0)+IF(AND(Ayarlar!$B$24=Ayarlar!$E$21,ISNUMBER(S42)),IF(R42="",Ayarlar!$B$7,R42),0)+IF(AND(Ayarlar!$B$25=Ayarlar!$E$21,ISNUMBER(W42)),IF(V42="",Ayarlar!$B$8,V42),0)+IF(AND(Ayarlar!$B$26=Ayarlar!$E$21,ISNUMBER(AA42)),IF(Z42="",Ayarlar!$B$9,Z42),0)+IF(AND(Ayarlar!$B$27=Ayarlar!$E$21,ISNUMBER(AE42)),IF(AD42="",Ayarlar!$B$10,AD42),0)+IF(AND(Ayarlar!$B$28=Ayarlar!$E$21,ISNUMBER(AI42)),IF(AH42="",Ayarlar!$B$11,AH42),0))*Ayarlar!$F$21,"")</f>
        <v/>
      </c>
      <c r="AR42" s="19">
        <f>IFERROR((IF(Ayarlar!$B$21=Ayarlar!$E$22,N(G42),0)+IF(Ayarlar!$B$22=Ayarlar!$E$22,N(K42),0)+IF(Ayarlar!$B$23=Ayarlar!$E$22,N(O42),0)+IF(Ayarlar!$B$24=Ayarlar!$E$22,N(S42),0)+IF(Ayarlar!$B$25=Ayarlar!$E$22,N(W42),0)+IF(Ayarlar!$B$26=Ayarlar!$E$22,N(AA42),0)+IF(Ayarlar!$B$27=Ayarlar!$E$22,N(AE42),0)+IF(Ayarlar!$B$28=Ayarlar!$E$22,N(AI42),0))/(IF(AND(Ayarlar!$B$21=Ayarlar!$E$22,ISNUMBER(G42)),IF(F42="",Ayarlar!$B$4,F42),0)+IF(AND(Ayarlar!$B$22=Ayarlar!$E$22,ISNUMBER(K42)),IF(J42="",Ayarlar!$B$5,J42),0)+IF(AND(Ayarlar!$B$23=Ayarlar!$E$22,ISNUMBER(O42)),IF(N42="",Ayarlar!$B$6,N42),0)+IF(AND(Ayarlar!$B$24=Ayarlar!$E$22,ISNUMBER(S42)),IF(R42="",Ayarlar!$B$7,R42),0)+IF(AND(Ayarlar!$B$25=Ayarlar!$E$22,ISNUMBER(W42)),IF(V42="",Ayarlar!$B$8,V42),0)+IF(AND(Ayarlar!$B$26=Ayarlar!$E$22,ISNUMBER(AA42)),IF(Z42="",Ayarlar!$B$9,Z42),0)+IF(AND(Ayarlar!$B$27=Ayarlar!$E$22,ISNUMBER(AE42)),IF(AD42="",Ayarlar!$B$10,AD42),0)+IF(AND(Ayarlar!$B$28=Ayarlar!$E$22,ISNUMBER(AI42)),IF(AH42="",Ayarlar!$B$11,AH42),0))*Ayarlar!$F$22,"")</f>
        <v/>
      </c>
      <c r="AS42" s="19">
        <f>IFERROR((IF(Ayarlar!$B$21=Ayarlar!$E$23,N(G42),0)+IF(Ayarlar!$B$22=Ayarlar!$E$23,N(K42),0)+IF(Ayarlar!$B$23=Ayarlar!$E$23,N(O42),0)+IF(Ayarlar!$B$24=Ayarlar!$E$23,N(S42),0)+IF(Ayarlar!$B$25=Ayarlar!$E$23,N(W42),0)+IF(Ayarlar!$B$26=Ayarlar!$E$23,N(AA42),0)+IF(Ayarlar!$B$27=Ayarlar!$E$23,N(AE42),0)+IF(Ayarlar!$B$28=Ayarlar!$E$23,N(AI42),0))/(IF(AND(Ayarlar!$B$21=Ayarlar!$E$23,ISNUMBER(G42)),IF(F42="",Ayarlar!$B$4,F42),0)+IF(AND(Ayarlar!$B$22=Ayarlar!$E$23,ISNUMBER(K42)),IF(J42="",Ayarlar!$B$5,J42),0)+IF(AND(Ayarlar!$B$23=Ayarlar!$E$23,ISNUMBER(O42)),IF(N42="",Ayarlar!$B$6,N42),0)+IF(AND(Ayarlar!$B$24=Ayarlar!$E$23,ISNUMBER(S42)),IF(R42="",Ayarlar!$B$7,R42),0)+IF(AND(Ayarlar!$B$25=Ayarlar!$E$23,ISNUMBER(W42)),IF(V42="",Ayarlar!$B$8,V42),0)+IF(AND(Ayarlar!$B$26=Ayarlar!$E$23,ISNUMBER(AA42)),IF(Z42="",Ayarlar!$B$9,Z42),0)+IF(AND(Ayarlar!$B$27=Ayarlar!$E$23,ISNUMBER(AE42)),IF(AD42="",Ayarlar!$B$10,AD42),0)+IF(AND(Ayarlar!$B$28=Ayarlar!$E$23,ISNUMBER(AI42)),IF(AH42="",Ayarlar!$B$11,AH42),0))*Ayarlar!$F$23,"")</f>
        <v/>
      </c>
      <c r="AT42" s="19">
        <f>IFERROR((IF(Ayarlar!$B$21=Ayarlar!$E$24,N(G42),0)+IF(Ayarlar!$B$22=Ayarlar!$E$24,N(K42),0)+IF(Ayarlar!$B$23=Ayarlar!$E$24,N(O42),0)+IF(Ayarlar!$B$24=Ayarlar!$E$24,N(S42),0)+IF(Ayarlar!$B$25=Ayarlar!$E$24,N(W42),0)+IF(Ayarlar!$B$26=Ayarlar!$E$24,N(AA42),0)+IF(Ayarlar!$B$27=Ayarlar!$E$24,N(AE42),0)+IF(Ayarlar!$B$28=Ayarlar!$E$24,N(AI42),0))/(IF(AND(Ayarlar!$B$21=Ayarlar!$E$24,ISNUMBER(G42)),IF(F42="",Ayarlar!$B$4,F42),0)+IF(AND(Ayarlar!$B$22=Ayarlar!$E$24,ISNUMBER(K42)),IF(J42="",Ayarlar!$B$5,J42),0)+IF(AND(Ayarlar!$B$23=Ayarlar!$E$24,ISNUMBER(O42)),IF(N42="",Ayarlar!$B$6,N42),0)+IF(AND(Ayarlar!$B$24=Ayarlar!$E$24,ISNUMBER(S42)),IF(R42="",Ayarlar!$B$7,R42),0)+IF(AND(Ayarlar!$B$25=Ayarlar!$E$24,ISNUMBER(W42)),IF(V42="",Ayarlar!$B$8,V42),0)+IF(AND(Ayarlar!$B$26=Ayarlar!$E$24,ISNUMBER(AA42)),IF(Z42="",Ayarlar!$B$9,Z42),0)+IF(AND(Ayarlar!$B$27=Ayarlar!$E$24,ISNUMBER(AE42)),IF(AD42="",Ayarlar!$B$10,AD42),0)+IF(AND(Ayarlar!$B$28=Ayarlar!$E$24,ISNUMBER(AI42)),IF(AH42="",Ayarlar!$B$11,AH42),0))*Ayarlar!$F$24,"")</f>
        <v/>
      </c>
      <c r="AU42" s="20">
        <f>IF(COUNT(AQ42,AR42,AS42,AT42)&lt;4,"",Ayarlar!$F$25+AQ42*Ayarlar!$G$21+AR42*Ayarlar!$G$22+AS42*Ayarlar!$G$23+AT42*Ayarlar!$G$24)</f>
        <v/>
      </c>
    </row>
    <row r="43">
      <c r="A43" s="10" t="n">
        <v>39</v>
      </c>
      <c r="B43" s="11" t="n"/>
      <c r="C43" s="4" t="n"/>
      <c r="D43" s="12" t="n"/>
      <c r="E43" s="12" t="n"/>
      <c r="F43" s="13" t="n"/>
      <c r="G43" s="14">
        <f>IF(AND(D43="",E43=""),"",D43-IF(Ayarlar!$B$16&gt;0,E43/Ayarlar!$B$16,0))</f>
        <v/>
      </c>
      <c r="H43" s="12" t="n"/>
      <c r="I43" s="12" t="n"/>
      <c r="J43" s="13" t="n"/>
      <c r="K43" s="14">
        <f>IF(AND(H43="",I43=""),"",H43-IF(Ayarlar!$B$16&gt;0,I43/Ayarlar!$B$16,0))</f>
        <v/>
      </c>
      <c r="L43" s="12" t="n"/>
      <c r="M43" s="12" t="n"/>
      <c r="N43" s="13" t="n"/>
      <c r="O43" s="14">
        <f>IF(AND(L43="",M43=""),"",L43-IF(Ayarlar!$B$16&gt;0,M43/Ayarlar!$B$16,0))</f>
        <v/>
      </c>
      <c r="P43" s="12" t="n"/>
      <c r="Q43" s="12" t="n"/>
      <c r="R43" s="13" t="n"/>
      <c r="S43" s="14">
        <f>IF(AND(P43="",Q43=""),"",P43-IF(Ayarlar!$B$16&gt;0,Q43/Ayarlar!$B$16,0))</f>
        <v/>
      </c>
      <c r="T43" s="12" t="n"/>
      <c r="U43" s="12" t="n"/>
      <c r="V43" s="13" t="n"/>
      <c r="W43" s="14">
        <f>IF(AND(T43="",U43=""),"",T43-IF(Ayarlar!$B$16&gt;0,U43/Ayarlar!$B$16,0))</f>
        <v/>
      </c>
      <c r="X43" s="12" t="n"/>
      <c r="Y43" s="12" t="n"/>
      <c r="Z43" s="13" t="n"/>
      <c r="AA43" s="14">
        <f>IF(AND(X43="",Y43=""),"",X43-IF(Ayarlar!$B$16&gt;0,Y43/Ayarlar!$B$16,0))</f>
        <v/>
      </c>
      <c r="AB43" s="12" t="n"/>
      <c r="AC43" s="12" t="n"/>
      <c r="AD43" s="13" t="n"/>
      <c r="AE43" s="14">
        <f>IF(AND(AB43="",AC43=""),"",AB43-IF(Ayarlar!$B$16&gt;0,AC43/Ayarlar!$B$16,0))</f>
        <v/>
      </c>
      <c r="AF43" s="12" t="n"/>
      <c r="AG43" s="12" t="n"/>
      <c r="AH43" s="13" t="n"/>
      <c r="AI43" s="14">
        <f>IF(AND(AF43="",AG43=""),"",AF43-IF(Ayarlar!$B$16&gt;0,AG43/Ayarlar!$B$16,0))</f>
        <v/>
      </c>
      <c r="AJ43" s="15">
        <f>IF(COUNT(D43,E43,H43,I43,L43,M43,P43,Q43,T43,U43,X43,Y43,AB43,AC43,AF43,AG43)=0,"",D43+H43+L43+P43+T43+X43+AB43+AF43)</f>
        <v/>
      </c>
      <c r="AK43" s="15">
        <f>IF(COUNT(D43,E43,H43,I43,L43,M43,P43,Q43,T43,U43,X43,Y43,AB43,AC43,AF43,AG43)=0,"",E43+I43+M43+Q43+U43+Y43+AC43+AG43)</f>
        <v/>
      </c>
      <c r="AL43" s="15">
        <f>IF(COUNT(D43,E43,H43,I43,L43,M43,P43,Q43,T43,U43,X43,Y43,AB43,AC43,AF43,AG43)=0,"",IF(ISNUMBER(G43),IF(F43="",Ayarlar!$B$4,F43),0)+IF(ISNUMBER(K43),IF(J43="",Ayarlar!$B$5,J43),0)+IF(ISNUMBER(O43),IF(N43="",Ayarlar!$B$6,N43),0)+IF(ISNUMBER(S43),IF(R43="",Ayarlar!$B$7,R43),0)+IF(ISNUMBER(W43),IF(V43="",Ayarlar!$B$8,V43),0)+IF(ISNUMBER(AA43),IF(Z43="",Ayarlar!$B$9,Z43),0)+IF(ISNUMBER(AE43),IF(AD43="",Ayarlar!$B$10,AD43),0)+IF(ISNUMBER(AI43),IF(AH43="",Ayarlar!$B$11,AH43),0))</f>
        <v/>
      </c>
      <c r="AM43" s="15">
        <f>IF(COUNT(D43,E43,H43,I43,L43,M43,P43,Q43,T43,U43,X43,Y43,AB43,AC43,AF43,AG43)=0,"",AL43-AJ43-AK43)</f>
        <v/>
      </c>
      <c r="AN43" s="16">
        <f>IF(COUNT(D43,E43,H43,I43,L43,M43,P43,Q43,T43,U43,X43,Y43,AB43,AC43,AF43,AG43)=0,"",SUM(G43,K43,O43,S43,W43,AA43,AE43,AI43))</f>
        <v/>
      </c>
      <c r="AO43" s="17">
        <f>IF(OR(COUNT(D43,E43,H43,I43,L43,M43,P43,Q43,T43,U43,X43,Y43,AB43,AC43,AF43,AG43)=0,N(AL43)=0),"",AN43/AL43)</f>
        <v/>
      </c>
      <c r="AP43" s="18">
        <f>IF(OR(AO43="",AO42=""),"",AO43-AO42)</f>
        <v/>
      </c>
      <c r="AQ43" s="19">
        <f>IFERROR((IF(Ayarlar!$B$21=Ayarlar!$E$21,N(G43),0)+IF(Ayarlar!$B$22=Ayarlar!$E$21,N(K43),0)+IF(Ayarlar!$B$23=Ayarlar!$E$21,N(O43),0)+IF(Ayarlar!$B$24=Ayarlar!$E$21,N(S43),0)+IF(Ayarlar!$B$25=Ayarlar!$E$21,N(W43),0)+IF(Ayarlar!$B$26=Ayarlar!$E$21,N(AA43),0)+IF(Ayarlar!$B$27=Ayarlar!$E$21,N(AE43),0)+IF(Ayarlar!$B$28=Ayarlar!$E$21,N(AI43),0))/(IF(AND(Ayarlar!$B$21=Ayarlar!$E$21,ISNUMBER(G43)),IF(F43="",Ayarlar!$B$4,F43),0)+IF(AND(Ayarlar!$B$22=Ayarlar!$E$21,ISNUMBER(K43)),IF(J43="",Ayarlar!$B$5,J43),0)+IF(AND(Ayarlar!$B$23=Ayarlar!$E$21,ISNUMBER(O43)),IF(N43="",Ayarlar!$B$6,N43),0)+IF(AND(Ayarlar!$B$24=Ayarlar!$E$21,ISNUMBER(S43)),IF(R43="",Ayarlar!$B$7,R43),0)+IF(AND(Ayarlar!$B$25=Ayarlar!$E$21,ISNUMBER(W43)),IF(V43="",Ayarlar!$B$8,V43),0)+IF(AND(Ayarlar!$B$26=Ayarlar!$E$21,ISNUMBER(AA43)),IF(Z43="",Ayarlar!$B$9,Z43),0)+IF(AND(Ayarlar!$B$27=Ayarlar!$E$21,ISNUMBER(AE43)),IF(AD43="",Ayarlar!$B$10,AD43),0)+IF(AND(Ayarlar!$B$28=Ayarlar!$E$21,ISNUMBER(AI43)),IF(AH43="",Ayarlar!$B$11,AH43),0))*Ayarlar!$F$21,"")</f>
        <v/>
      </c>
      <c r="AR43" s="19">
        <f>IFERROR((IF(Ayarlar!$B$21=Ayarlar!$E$22,N(G43),0)+IF(Ayarlar!$B$22=Ayarlar!$E$22,N(K43),0)+IF(Ayarlar!$B$23=Ayarlar!$E$22,N(O43),0)+IF(Ayarlar!$B$24=Ayarlar!$E$22,N(S43),0)+IF(Ayarlar!$B$25=Ayarlar!$E$22,N(W43),0)+IF(Ayarlar!$B$26=Ayarlar!$E$22,N(AA43),0)+IF(Ayarlar!$B$27=Ayarlar!$E$22,N(AE43),0)+IF(Ayarlar!$B$28=Ayarlar!$E$22,N(AI43),0))/(IF(AND(Ayarlar!$B$21=Ayarlar!$E$22,ISNUMBER(G43)),IF(F43="",Ayarlar!$B$4,F43),0)+IF(AND(Ayarlar!$B$22=Ayarlar!$E$22,ISNUMBER(K43)),IF(J43="",Ayarlar!$B$5,J43),0)+IF(AND(Ayarlar!$B$23=Ayarlar!$E$22,ISNUMBER(O43)),IF(N43="",Ayarlar!$B$6,N43),0)+IF(AND(Ayarlar!$B$24=Ayarlar!$E$22,ISNUMBER(S43)),IF(R43="",Ayarlar!$B$7,R43),0)+IF(AND(Ayarlar!$B$25=Ayarlar!$E$22,ISNUMBER(W43)),IF(V43="",Ayarlar!$B$8,V43),0)+IF(AND(Ayarlar!$B$26=Ayarlar!$E$22,ISNUMBER(AA43)),IF(Z43="",Ayarlar!$B$9,Z43),0)+IF(AND(Ayarlar!$B$27=Ayarlar!$E$22,ISNUMBER(AE43)),IF(AD43="",Ayarlar!$B$10,AD43),0)+IF(AND(Ayarlar!$B$28=Ayarlar!$E$22,ISNUMBER(AI43)),IF(AH43="",Ayarlar!$B$11,AH43),0))*Ayarlar!$F$22,"")</f>
        <v/>
      </c>
      <c r="AS43" s="19">
        <f>IFERROR((IF(Ayarlar!$B$21=Ayarlar!$E$23,N(G43),0)+IF(Ayarlar!$B$22=Ayarlar!$E$23,N(K43),0)+IF(Ayarlar!$B$23=Ayarlar!$E$23,N(O43),0)+IF(Ayarlar!$B$24=Ayarlar!$E$23,N(S43),0)+IF(Ayarlar!$B$25=Ayarlar!$E$23,N(W43),0)+IF(Ayarlar!$B$26=Ayarlar!$E$23,N(AA43),0)+IF(Ayarlar!$B$27=Ayarlar!$E$23,N(AE43),0)+IF(Ayarlar!$B$28=Ayarlar!$E$23,N(AI43),0))/(IF(AND(Ayarlar!$B$21=Ayarlar!$E$23,ISNUMBER(G43)),IF(F43="",Ayarlar!$B$4,F43),0)+IF(AND(Ayarlar!$B$22=Ayarlar!$E$23,ISNUMBER(K43)),IF(J43="",Ayarlar!$B$5,J43),0)+IF(AND(Ayarlar!$B$23=Ayarlar!$E$23,ISNUMBER(O43)),IF(N43="",Ayarlar!$B$6,N43),0)+IF(AND(Ayarlar!$B$24=Ayarlar!$E$23,ISNUMBER(S43)),IF(R43="",Ayarlar!$B$7,R43),0)+IF(AND(Ayarlar!$B$25=Ayarlar!$E$23,ISNUMBER(W43)),IF(V43="",Ayarlar!$B$8,V43),0)+IF(AND(Ayarlar!$B$26=Ayarlar!$E$23,ISNUMBER(AA43)),IF(Z43="",Ayarlar!$B$9,Z43),0)+IF(AND(Ayarlar!$B$27=Ayarlar!$E$23,ISNUMBER(AE43)),IF(AD43="",Ayarlar!$B$10,AD43),0)+IF(AND(Ayarlar!$B$28=Ayarlar!$E$23,ISNUMBER(AI43)),IF(AH43="",Ayarlar!$B$11,AH43),0))*Ayarlar!$F$23,"")</f>
        <v/>
      </c>
      <c r="AT43" s="19">
        <f>IFERROR((IF(Ayarlar!$B$21=Ayarlar!$E$24,N(G43),0)+IF(Ayarlar!$B$22=Ayarlar!$E$24,N(K43),0)+IF(Ayarlar!$B$23=Ayarlar!$E$24,N(O43),0)+IF(Ayarlar!$B$24=Ayarlar!$E$24,N(S43),0)+IF(Ayarlar!$B$25=Ayarlar!$E$24,N(W43),0)+IF(Ayarlar!$B$26=Ayarlar!$E$24,N(AA43),0)+IF(Ayarlar!$B$27=Ayarlar!$E$24,N(AE43),0)+IF(Ayarlar!$B$28=Ayarlar!$E$24,N(AI43),0))/(IF(AND(Ayarlar!$B$21=Ayarlar!$E$24,ISNUMBER(G43)),IF(F43="",Ayarlar!$B$4,F43),0)+IF(AND(Ayarlar!$B$22=Ayarlar!$E$24,ISNUMBER(K43)),IF(J43="",Ayarlar!$B$5,J43),0)+IF(AND(Ayarlar!$B$23=Ayarlar!$E$24,ISNUMBER(O43)),IF(N43="",Ayarlar!$B$6,N43),0)+IF(AND(Ayarlar!$B$24=Ayarlar!$E$24,ISNUMBER(S43)),IF(R43="",Ayarlar!$B$7,R43),0)+IF(AND(Ayarlar!$B$25=Ayarlar!$E$24,ISNUMBER(W43)),IF(V43="",Ayarlar!$B$8,V43),0)+IF(AND(Ayarlar!$B$26=Ayarlar!$E$24,ISNUMBER(AA43)),IF(Z43="",Ayarlar!$B$9,Z43),0)+IF(AND(Ayarlar!$B$27=Ayarlar!$E$24,ISNUMBER(AE43)),IF(AD43="",Ayarlar!$B$10,AD43),0)+IF(AND(Ayarlar!$B$28=Ayarlar!$E$24,ISNUMBER(AI43)),IF(AH43="",Ayarlar!$B$11,AH43),0))*Ayarlar!$F$24,"")</f>
        <v/>
      </c>
      <c r="AU43" s="20">
        <f>IF(COUNT(AQ43,AR43,AS43,AT43)&lt;4,"",Ayarlar!$F$25+AQ43*Ayarlar!$G$21+AR43*Ayarlar!$G$22+AS43*Ayarlar!$G$23+AT43*Ayarlar!$G$24)</f>
        <v/>
      </c>
    </row>
    <row r="44">
      <c r="A44" s="10" t="n">
        <v>40</v>
      </c>
      <c r="B44" s="11" t="n"/>
      <c r="C44" s="4" t="n"/>
      <c r="D44" s="12" t="n"/>
      <c r="E44" s="12" t="n"/>
      <c r="F44" s="13" t="n"/>
      <c r="G44" s="14">
        <f>IF(AND(D44="",E44=""),"",D44-IF(Ayarlar!$B$16&gt;0,E44/Ayarlar!$B$16,0))</f>
        <v/>
      </c>
      <c r="H44" s="12" t="n"/>
      <c r="I44" s="12" t="n"/>
      <c r="J44" s="13" t="n"/>
      <c r="K44" s="14">
        <f>IF(AND(H44="",I44=""),"",H44-IF(Ayarlar!$B$16&gt;0,I44/Ayarlar!$B$16,0))</f>
        <v/>
      </c>
      <c r="L44" s="12" t="n"/>
      <c r="M44" s="12" t="n"/>
      <c r="N44" s="13" t="n"/>
      <c r="O44" s="14">
        <f>IF(AND(L44="",M44=""),"",L44-IF(Ayarlar!$B$16&gt;0,M44/Ayarlar!$B$16,0))</f>
        <v/>
      </c>
      <c r="P44" s="12" t="n"/>
      <c r="Q44" s="12" t="n"/>
      <c r="R44" s="13" t="n"/>
      <c r="S44" s="14">
        <f>IF(AND(P44="",Q44=""),"",P44-IF(Ayarlar!$B$16&gt;0,Q44/Ayarlar!$B$16,0))</f>
        <v/>
      </c>
      <c r="T44" s="12" t="n"/>
      <c r="U44" s="12" t="n"/>
      <c r="V44" s="13" t="n"/>
      <c r="W44" s="14">
        <f>IF(AND(T44="",U44=""),"",T44-IF(Ayarlar!$B$16&gt;0,U44/Ayarlar!$B$16,0))</f>
        <v/>
      </c>
      <c r="X44" s="12" t="n"/>
      <c r="Y44" s="12" t="n"/>
      <c r="Z44" s="13" t="n"/>
      <c r="AA44" s="14">
        <f>IF(AND(X44="",Y44=""),"",X44-IF(Ayarlar!$B$16&gt;0,Y44/Ayarlar!$B$16,0))</f>
        <v/>
      </c>
      <c r="AB44" s="12" t="n"/>
      <c r="AC44" s="12" t="n"/>
      <c r="AD44" s="13" t="n"/>
      <c r="AE44" s="14">
        <f>IF(AND(AB44="",AC44=""),"",AB44-IF(Ayarlar!$B$16&gt;0,AC44/Ayarlar!$B$16,0))</f>
        <v/>
      </c>
      <c r="AF44" s="12" t="n"/>
      <c r="AG44" s="12" t="n"/>
      <c r="AH44" s="13" t="n"/>
      <c r="AI44" s="14">
        <f>IF(AND(AF44="",AG44=""),"",AF44-IF(Ayarlar!$B$16&gt;0,AG44/Ayarlar!$B$16,0))</f>
        <v/>
      </c>
      <c r="AJ44" s="15">
        <f>IF(COUNT(D44,E44,H44,I44,L44,M44,P44,Q44,T44,U44,X44,Y44,AB44,AC44,AF44,AG44)=0,"",D44+H44+L44+P44+T44+X44+AB44+AF44)</f>
        <v/>
      </c>
      <c r="AK44" s="15">
        <f>IF(COUNT(D44,E44,H44,I44,L44,M44,P44,Q44,T44,U44,X44,Y44,AB44,AC44,AF44,AG44)=0,"",E44+I44+M44+Q44+U44+Y44+AC44+AG44)</f>
        <v/>
      </c>
      <c r="AL44" s="15">
        <f>IF(COUNT(D44,E44,H44,I44,L44,M44,P44,Q44,T44,U44,X44,Y44,AB44,AC44,AF44,AG44)=0,"",IF(ISNUMBER(G44),IF(F44="",Ayarlar!$B$4,F44),0)+IF(ISNUMBER(K44),IF(J44="",Ayarlar!$B$5,J44),0)+IF(ISNUMBER(O44),IF(N44="",Ayarlar!$B$6,N44),0)+IF(ISNUMBER(S44),IF(R44="",Ayarlar!$B$7,R44),0)+IF(ISNUMBER(W44),IF(V44="",Ayarlar!$B$8,V44),0)+IF(ISNUMBER(AA44),IF(Z44="",Ayarlar!$B$9,Z44),0)+IF(ISNUMBER(AE44),IF(AD44="",Ayarlar!$B$10,AD44),0)+IF(ISNUMBER(AI44),IF(AH44="",Ayarlar!$B$11,AH44),0))</f>
        <v/>
      </c>
      <c r="AM44" s="15">
        <f>IF(COUNT(D44,E44,H44,I44,L44,M44,P44,Q44,T44,U44,X44,Y44,AB44,AC44,AF44,AG44)=0,"",AL44-AJ44-AK44)</f>
        <v/>
      </c>
      <c r="AN44" s="16">
        <f>IF(COUNT(D44,E44,H44,I44,L44,M44,P44,Q44,T44,U44,X44,Y44,AB44,AC44,AF44,AG44)=0,"",SUM(G44,K44,O44,S44,W44,AA44,AE44,AI44))</f>
        <v/>
      </c>
      <c r="AO44" s="17">
        <f>IF(OR(COUNT(D44,E44,H44,I44,L44,M44,P44,Q44,T44,U44,X44,Y44,AB44,AC44,AF44,AG44)=0,N(AL44)=0),"",AN44/AL44)</f>
        <v/>
      </c>
      <c r="AP44" s="18">
        <f>IF(OR(AO44="",AO43=""),"",AO44-AO43)</f>
        <v/>
      </c>
      <c r="AQ44" s="19">
        <f>IFERROR((IF(Ayarlar!$B$21=Ayarlar!$E$21,N(G44),0)+IF(Ayarlar!$B$22=Ayarlar!$E$21,N(K44),0)+IF(Ayarlar!$B$23=Ayarlar!$E$21,N(O44),0)+IF(Ayarlar!$B$24=Ayarlar!$E$21,N(S44),0)+IF(Ayarlar!$B$25=Ayarlar!$E$21,N(W44),0)+IF(Ayarlar!$B$26=Ayarlar!$E$21,N(AA44),0)+IF(Ayarlar!$B$27=Ayarlar!$E$21,N(AE44),0)+IF(Ayarlar!$B$28=Ayarlar!$E$21,N(AI44),0))/(IF(AND(Ayarlar!$B$21=Ayarlar!$E$21,ISNUMBER(G44)),IF(F44="",Ayarlar!$B$4,F44),0)+IF(AND(Ayarlar!$B$22=Ayarlar!$E$21,ISNUMBER(K44)),IF(J44="",Ayarlar!$B$5,J44),0)+IF(AND(Ayarlar!$B$23=Ayarlar!$E$21,ISNUMBER(O44)),IF(N44="",Ayarlar!$B$6,N44),0)+IF(AND(Ayarlar!$B$24=Ayarlar!$E$21,ISNUMBER(S44)),IF(R44="",Ayarlar!$B$7,R44),0)+IF(AND(Ayarlar!$B$25=Ayarlar!$E$21,ISNUMBER(W44)),IF(V44="",Ayarlar!$B$8,V44),0)+IF(AND(Ayarlar!$B$26=Ayarlar!$E$21,ISNUMBER(AA44)),IF(Z44="",Ayarlar!$B$9,Z44),0)+IF(AND(Ayarlar!$B$27=Ayarlar!$E$21,ISNUMBER(AE44)),IF(AD44="",Ayarlar!$B$10,AD44),0)+IF(AND(Ayarlar!$B$28=Ayarlar!$E$21,ISNUMBER(AI44)),IF(AH44="",Ayarlar!$B$11,AH44),0))*Ayarlar!$F$21,"")</f>
        <v/>
      </c>
      <c r="AR44" s="19">
        <f>IFERROR((IF(Ayarlar!$B$21=Ayarlar!$E$22,N(G44),0)+IF(Ayarlar!$B$22=Ayarlar!$E$22,N(K44),0)+IF(Ayarlar!$B$23=Ayarlar!$E$22,N(O44),0)+IF(Ayarlar!$B$24=Ayarlar!$E$22,N(S44),0)+IF(Ayarlar!$B$25=Ayarlar!$E$22,N(W44),0)+IF(Ayarlar!$B$26=Ayarlar!$E$22,N(AA44),0)+IF(Ayarlar!$B$27=Ayarlar!$E$22,N(AE44),0)+IF(Ayarlar!$B$28=Ayarlar!$E$22,N(AI44),0))/(IF(AND(Ayarlar!$B$21=Ayarlar!$E$22,ISNUMBER(G44)),IF(F44="",Ayarlar!$B$4,F44),0)+IF(AND(Ayarlar!$B$22=Ayarlar!$E$22,ISNUMBER(K44)),IF(J44="",Ayarlar!$B$5,J44),0)+IF(AND(Ayarlar!$B$23=Ayarlar!$E$22,ISNUMBER(O44)),IF(N44="",Ayarlar!$B$6,N44),0)+IF(AND(Ayarlar!$B$24=Ayarlar!$E$22,ISNUMBER(S44)),IF(R44="",Ayarlar!$B$7,R44),0)+IF(AND(Ayarlar!$B$25=Ayarlar!$E$22,ISNUMBER(W44)),IF(V44="",Ayarlar!$B$8,V44),0)+IF(AND(Ayarlar!$B$26=Ayarlar!$E$22,ISNUMBER(AA44)),IF(Z44="",Ayarlar!$B$9,Z44),0)+IF(AND(Ayarlar!$B$27=Ayarlar!$E$22,ISNUMBER(AE44)),IF(AD44="",Ayarlar!$B$10,AD44),0)+IF(AND(Ayarlar!$B$28=Ayarlar!$E$22,ISNUMBER(AI44)),IF(AH44="",Ayarlar!$B$11,AH44),0))*Ayarlar!$F$22,"")</f>
        <v/>
      </c>
      <c r="AS44" s="19">
        <f>IFERROR((IF(Ayarlar!$B$21=Ayarlar!$E$23,N(G44),0)+IF(Ayarlar!$B$22=Ayarlar!$E$23,N(K44),0)+IF(Ayarlar!$B$23=Ayarlar!$E$23,N(O44),0)+IF(Ayarlar!$B$24=Ayarlar!$E$23,N(S44),0)+IF(Ayarlar!$B$25=Ayarlar!$E$23,N(W44),0)+IF(Ayarlar!$B$26=Ayarlar!$E$23,N(AA44),0)+IF(Ayarlar!$B$27=Ayarlar!$E$23,N(AE44),0)+IF(Ayarlar!$B$28=Ayarlar!$E$23,N(AI44),0))/(IF(AND(Ayarlar!$B$21=Ayarlar!$E$23,ISNUMBER(G44)),IF(F44="",Ayarlar!$B$4,F44),0)+IF(AND(Ayarlar!$B$22=Ayarlar!$E$23,ISNUMBER(K44)),IF(J44="",Ayarlar!$B$5,J44),0)+IF(AND(Ayarlar!$B$23=Ayarlar!$E$23,ISNUMBER(O44)),IF(N44="",Ayarlar!$B$6,N44),0)+IF(AND(Ayarlar!$B$24=Ayarlar!$E$23,ISNUMBER(S44)),IF(R44="",Ayarlar!$B$7,R44),0)+IF(AND(Ayarlar!$B$25=Ayarlar!$E$23,ISNUMBER(W44)),IF(V44="",Ayarlar!$B$8,V44),0)+IF(AND(Ayarlar!$B$26=Ayarlar!$E$23,ISNUMBER(AA44)),IF(Z44="",Ayarlar!$B$9,Z44),0)+IF(AND(Ayarlar!$B$27=Ayarlar!$E$23,ISNUMBER(AE44)),IF(AD44="",Ayarlar!$B$10,AD44),0)+IF(AND(Ayarlar!$B$28=Ayarlar!$E$23,ISNUMBER(AI44)),IF(AH44="",Ayarlar!$B$11,AH44),0))*Ayarlar!$F$23,"")</f>
        <v/>
      </c>
      <c r="AT44" s="19">
        <f>IFERROR((IF(Ayarlar!$B$21=Ayarlar!$E$24,N(G44),0)+IF(Ayarlar!$B$22=Ayarlar!$E$24,N(K44),0)+IF(Ayarlar!$B$23=Ayarlar!$E$24,N(O44),0)+IF(Ayarlar!$B$24=Ayarlar!$E$24,N(S44),0)+IF(Ayarlar!$B$25=Ayarlar!$E$24,N(W44),0)+IF(Ayarlar!$B$26=Ayarlar!$E$24,N(AA44),0)+IF(Ayarlar!$B$27=Ayarlar!$E$24,N(AE44),0)+IF(Ayarlar!$B$28=Ayarlar!$E$24,N(AI44),0))/(IF(AND(Ayarlar!$B$21=Ayarlar!$E$24,ISNUMBER(G44)),IF(F44="",Ayarlar!$B$4,F44),0)+IF(AND(Ayarlar!$B$22=Ayarlar!$E$24,ISNUMBER(K44)),IF(J44="",Ayarlar!$B$5,J44),0)+IF(AND(Ayarlar!$B$23=Ayarlar!$E$24,ISNUMBER(O44)),IF(N44="",Ayarlar!$B$6,N44),0)+IF(AND(Ayarlar!$B$24=Ayarlar!$E$24,ISNUMBER(S44)),IF(R44="",Ayarlar!$B$7,R44),0)+IF(AND(Ayarlar!$B$25=Ayarlar!$E$24,ISNUMBER(W44)),IF(V44="",Ayarlar!$B$8,V44),0)+IF(AND(Ayarlar!$B$26=Ayarlar!$E$24,ISNUMBER(AA44)),IF(Z44="",Ayarlar!$B$9,Z44),0)+IF(AND(Ayarlar!$B$27=Ayarlar!$E$24,ISNUMBER(AE44)),IF(AD44="",Ayarlar!$B$10,AD44),0)+IF(AND(Ayarlar!$B$28=Ayarlar!$E$24,ISNUMBER(AI44)),IF(AH44="",Ayarlar!$B$11,AH44),0))*Ayarlar!$F$24,"")</f>
        <v/>
      </c>
      <c r="AU44" s="20">
        <f>IF(COUNT(AQ44,AR44,AS44,AT44)&lt;4,"",Ayarlar!$F$25+AQ44*Ayarlar!$G$21+AR44*Ayarlar!$G$22+AS44*Ayarlar!$G$23+AT44*Ayarlar!$G$24)</f>
        <v/>
      </c>
    </row>
    <row r="45">
      <c r="A45" s="10" t="n">
        <v>41</v>
      </c>
      <c r="B45" s="11" t="n"/>
      <c r="C45" s="4" t="n"/>
      <c r="D45" s="12" t="n"/>
      <c r="E45" s="12" t="n"/>
      <c r="F45" s="13" t="n"/>
      <c r="G45" s="14">
        <f>IF(AND(D45="",E45=""),"",D45-IF(Ayarlar!$B$16&gt;0,E45/Ayarlar!$B$16,0))</f>
        <v/>
      </c>
      <c r="H45" s="12" t="n"/>
      <c r="I45" s="12" t="n"/>
      <c r="J45" s="13" t="n"/>
      <c r="K45" s="14">
        <f>IF(AND(H45="",I45=""),"",H45-IF(Ayarlar!$B$16&gt;0,I45/Ayarlar!$B$16,0))</f>
        <v/>
      </c>
      <c r="L45" s="12" t="n"/>
      <c r="M45" s="12" t="n"/>
      <c r="N45" s="13" t="n"/>
      <c r="O45" s="14">
        <f>IF(AND(L45="",M45=""),"",L45-IF(Ayarlar!$B$16&gt;0,M45/Ayarlar!$B$16,0))</f>
        <v/>
      </c>
      <c r="P45" s="12" t="n"/>
      <c r="Q45" s="12" t="n"/>
      <c r="R45" s="13" t="n"/>
      <c r="S45" s="14">
        <f>IF(AND(P45="",Q45=""),"",P45-IF(Ayarlar!$B$16&gt;0,Q45/Ayarlar!$B$16,0))</f>
        <v/>
      </c>
      <c r="T45" s="12" t="n"/>
      <c r="U45" s="12" t="n"/>
      <c r="V45" s="13" t="n"/>
      <c r="W45" s="14">
        <f>IF(AND(T45="",U45=""),"",T45-IF(Ayarlar!$B$16&gt;0,U45/Ayarlar!$B$16,0))</f>
        <v/>
      </c>
      <c r="X45" s="12" t="n"/>
      <c r="Y45" s="12" t="n"/>
      <c r="Z45" s="13" t="n"/>
      <c r="AA45" s="14">
        <f>IF(AND(X45="",Y45=""),"",X45-IF(Ayarlar!$B$16&gt;0,Y45/Ayarlar!$B$16,0))</f>
        <v/>
      </c>
      <c r="AB45" s="12" t="n"/>
      <c r="AC45" s="12" t="n"/>
      <c r="AD45" s="13" t="n"/>
      <c r="AE45" s="14">
        <f>IF(AND(AB45="",AC45=""),"",AB45-IF(Ayarlar!$B$16&gt;0,AC45/Ayarlar!$B$16,0))</f>
        <v/>
      </c>
      <c r="AF45" s="12" t="n"/>
      <c r="AG45" s="12" t="n"/>
      <c r="AH45" s="13" t="n"/>
      <c r="AI45" s="14">
        <f>IF(AND(AF45="",AG45=""),"",AF45-IF(Ayarlar!$B$16&gt;0,AG45/Ayarlar!$B$16,0))</f>
        <v/>
      </c>
      <c r="AJ45" s="15">
        <f>IF(COUNT(D45,E45,H45,I45,L45,M45,P45,Q45,T45,U45,X45,Y45,AB45,AC45,AF45,AG45)=0,"",D45+H45+L45+P45+T45+X45+AB45+AF45)</f>
        <v/>
      </c>
      <c r="AK45" s="15">
        <f>IF(COUNT(D45,E45,H45,I45,L45,M45,P45,Q45,T45,U45,X45,Y45,AB45,AC45,AF45,AG45)=0,"",E45+I45+M45+Q45+U45+Y45+AC45+AG45)</f>
        <v/>
      </c>
      <c r="AL45" s="15">
        <f>IF(COUNT(D45,E45,H45,I45,L45,M45,P45,Q45,T45,U45,X45,Y45,AB45,AC45,AF45,AG45)=0,"",IF(ISNUMBER(G45),IF(F45="",Ayarlar!$B$4,F45),0)+IF(ISNUMBER(K45),IF(J45="",Ayarlar!$B$5,J45),0)+IF(ISNUMBER(O45),IF(N45="",Ayarlar!$B$6,N45),0)+IF(ISNUMBER(S45),IF(R45="",Ayarlar!$B$7,R45),0)+IF(ISNUMBER(W45),IF(V45="",Ayarlar!$B$8,V45),0)+IF(ISNUMBER(AA45),IF(Z45="",Ayarlar!$B$9,Z45),0)+IF(ISNUMBER(AE45),IF(AD45="",Ayarlar!$B$10,AD45),0)+IF(ISNUMBER(AI45),IF(AH45="",Ayarlar!$B$11,AH45),0))</f>
        <v/>
      </c>
      <c r="AM45" s="15">
        <f>IF(COUNT(D45,E45,H45,I45,L45,M45,P45,Q45,T45,U45,X45,Y45,AB45,AC45,AF45,AG45)=0,"",AL45-AJ45-AK45)</f>
        <v/>
      </c>
      <c r="AN45" s="16">
        <f>IF(COUNT(D45,E45,H45,I45,L45,M45,P45,Q45,T45,U45,X45,Y45,AB45,AC45,AF45,AG45)=0,"",SUM(G45,K45,O45,S45,W45,AA45,AE45,AI45))</f>
        <v/>
      </c>
      <c r="AO45" s="17">
        <f>IF(OR(COUNT(D45,E45,H45,I45,L45,M45,P45,Q45,T45,U45,X45,Y45,AB45,AC45,AF45,AG45)=0,N(AL45)=0),"",AN45/AL45)</f>
        <v/>
      </c>
      <c r="AP45" s="18">
        <f>IF(OR(AO45="",AO44=""),"",AO45-AO44)</f>
        <v/>
      </c>
      <c r="AQ45" s="19">
        <f>IFERROR((IF(Ayarlar!$B$21=Ayarlar!$E$21,N(G45),0)+IF(Ayarlar!$B$22=Ayarlar!$E$21,N(K45),0)+IF(Ayarlar!$B$23=Ayarlar!$E$21,N(O45),0)+IF(Ayarlar!$B$24=Ayarlar!$E$21,N(S45),0)+IF(Ayarlar!$B$25=Ayarlar!$E$21,N(W45),0)+IF(Ayarlar!$B$26=Ayarlar!$E$21,N(AA45),0)+IF(Ayarlar!$B$27=Ayarlar!$E$21,N(AE45),0)+IF(Ayarlar!$B$28=Ayarlar!$E$21,N(AI45),0))/(IF(AND(Ayarlar!$B$21=Ayarlar!$E$21,ISNUMBER(G45)),IF(F45="",Ayarlar!$B$4,F45),0)+IF(AND(Ayarlar!$B$22=Ayarlar!$E$21,ISNUMBER(K45)),IF(J45="",Ayarlar!$B$5,J45),0)+IF(AND(Ayarlar!$B$23=Ayarlar!$E$21,ISNUMBER(O45)),IF(N45="",Ayarlar!$B$6,N45),0)+IF(AND(Ayarlar!$B$24=Ayarlar!$E$21,ISNUMBER(S45)),IF(R45="",Ayarlar!$B$7,R45),0)+IF(AND(Ayarlar!$B$25=Ayarlar!$E$21,ISNUMBER(W45)),IF(V45="",Ayarlar!$B$8,V45),0)+IF(AND(Ayarlar!$B$26=Ayarlar!$E$21,ISNUMBER(AA45)),IF(Z45="",Ayarlar!$B$9,Z45),0)+IF(AND(Ayarlar!$B$27=Ayarlar!$E$21,ISNUMBER(AE45)),IF(AD45="",Ayarlar!$B$10,AD45),0)+IF(AND(Ayarlar!$B$28=Ayarlar!$E$21,ISNUMBER(AI45)),IF(AH45="",Ayarlar!$B$11,AH45),0))*Ayarlar!$F$21,"")</f>
        <v/>
      </c>
      <c r="AR45" s="19">
        <f>IFERROR((IF(Ayarlar!$B$21=Ayarlar!$E$22,N(G45),0)+IF(Ayarlar!$B$22=Ayarlar!$E$22,N(K45),0)+IF(Ayarlar!$B$23=Ayarlar!$E$22,N(O45),0)+IF(Ayarlar!$B$24=Ayarlar!$E$22,N(S45),0)+IF(Ayarlar!$B$25=Ayarlar!$E$22,N(W45),0)+IF(Ayarlar!$B$26=Ayarlar!$E$22,N(AA45),0)+IF(Ayarlar!$B$27=Ayarlar!$E$22,N(AE45),0)+IF(Ayarlar!$B$28=Ayarlar!$E$22,N(AI45),0))/(IF(AND(Ayarlar!$B$21=Ayarlar!$E$22,ISNUMBER(G45)),IF(F45="",Ayarlar!$B$4,F45),0)+IF(AND(Ayarlar!$B$22=Ayarlar!$E$22,ISNUMBER(K45)),IF(J45="",Ayarlar!$B$5,J45),0)+IF(AND(Ayarlar!$B$23=Ayarlar!$E$22,ISNUMBER(O45)),IF(N45="",Ayarlar!$B$6,N45),0)+IF(AND(Ayarlar!$B$24=Ayarlar!$E$22,ISNUMBER(S45)),IF(R45="",Ayarlar!$B$7,R45),0)+IF(AND(Ayarlar!$B$25=Ayarlar!$E$22,ISNUMBER(W45)),IF(V45="",Ayarlar!$B$8,V45),0)+IF(AND(Ayarlar!$B$26=Ayarlar!$E$22,ISNUMBER(AA45)),IF(Z45="",Ayarlar!$B$9,Z45),0)+IF(AND(Ayarlar!$B$27=Ayarlar!$E$22,ISNUMBER(AE45)),IF(AD45="",Ayarlar!$B$10,AD45),0)+IF(AND(Ayarlar!$B$28=Ayarlar!$E$22,ISNUMBER(AI45)),IF(AH45="",Ayarlar!$B$11,AH45),0))*Ayarlar!$F$22,"")</f>
        <v/>
      </c>
      <c r="AS45" s="19">
        <f>IFERROR((IF(Ayarlar!$B$21=Ayarlar!$E$23,N(G45),0)+IF(Ayarlar!$B$22=Ayarlar!$E$23,N(K45),0)+IF(Ayarlar!$B$23=Ayarlar!$E$23,N(O45),0)+IF(Ayarlar!$B$24=Ayarlar!$E$23,N(S45),0)+IF(Ayarlar!$B$25=Ayarlar!$E$23,N(W45),0)+IF(Ayarlar!$B$26=Ayarlar!$E$23,N(AA45),0)+IF(Ayarlar!$B$27=Ayarlar!$E$23,N(AE45),0)+IF(Ayarlar!$B$28=Ayarlar!$E$23,N(AI45),0))/(IF(AND(Ayarlar!$B$21=Ayarlar!$E$23,ISNUMBER(G45)),IF(F45="",Ayarlar!$B$4,F45),0)+IF(AND(Ayarlar!$B$22=Ayarlar!$E$23,ISNUMBER(K45)),IF(J45="",Ayarlar!$B$5,J45),0)+IF(AND(Ayarlar!$B$23=Ayarlar!$E$23,ISNUMBER(O45)),IF(N45="",Ayarlar!$B$6,N45),0)+IF(AND(Ayarlar!$B$24=Ayarlar!$E$23,ISNUMBER(S45)),IF(R45="",Ayarlar!$B$7,R45),0)+IF(AND(Ayarlar!$B$25=Ayarlar!$E$23,ISNUMBER(W45)),IF(V45="",Ayarlar!$B$8,V45),0)+IF(AND(Ayarlar!$B$26=Ayarlar!$E$23,ISNUMBER(AA45)),IF(Z45="",Ayarlar!$B$9,Z45),0)+IF(AND(Ayarlar!$B$27=Ayarlar!$E$23,ISNUMBER(AE45)),IF(AD45="",Ayarlar!$B$10,AD45),0)+IF(AND(Ayarlar!$B$28=Ayarlar!$E$23,ISNUMBER(AI45)),IF(AH45="",Ayarlar!$B$11,AH45),0))*Ayarlar!$F$23,"")</f>
        <v/>
      </c>
      <c r="AT45" s="19">
        <f>IFERROR((IF(Ayarlar!$B$21=Ayarlar!$E$24,N(G45),0)+IF(Ayarlar!$B$22=Ayarlar!$E$24,N(K45),0)+IF(Ayarlar!$B$23=Ayarlar!$E$24,N(O45),0)+IF(Ayarlar!$B$24=Ayarlar!$E$24,N(S45),0)+IF(Ayarlar!$B$25=Ayarlar!$E$24,N(W45),0)+IF(Ayarlar!$B$26=Ayarlar!$E$24,N(AA45),0)+IF(Ayarlar!$B$27=Ayarlar!$E$24,N(AE45),0)+IF(Ayarlar!$B$28=Ayarlar!$E$24,N(AI45),0))/(IF(AND(Ayarlar!$B$21=Ayarlar!$E$24,ISNUMBER(G45)),IF(F45="",Ayarlar!$B$4,F45),0)+IF(AND(Ayarlar!$B$22=Ayarlar!$E$24,ISNUMBER(K45)),IF(J45="",Ayarlar!$B$5,J45),0)+IF(AND(Ayarlar!$B$23=Ayarlar!$E$24,ISNUMBER(O45)),IF(N45="",Ayarlar!$B$6,N45),0)+IF(AND(Ayarlar!$B$24=Ayarlar!$E$24,ISNUMBER(S45)),IF(R45="",Ayarlar!$B$7,R45),0)+IF(AND(Ayarlar!$B$25=Ayarlar!$E$24,ISNUMBER(W45)),IF(V45="",Ayarlar!$B$8,V45),0)+IF(AND(Ayarlar!$B$26=Ayarlar!$E$24,ISNUMBER(AA45)),IF(Z45="",Ayarlar!$B$9,Z45),0)+IF(AND(Ayarlar!$B$27=Ayarlar!$E$24,ISNUMBER(AE45)),IF(AD45="",Ayarlar!$B$10,AD45),0)+IF(AND(Ayarlar!$B$28=Ayarlar!$E$24,ISNUMBER(AI45)),IF(AH45="",Ayarlar!$B$11,AH45),0))*Ayarlar!$F$24,"")</f>
        <v/>
      </c>
      <c r="AU45" s="20">
        <f>IF(COUNT(AQ45,AR45,AS45,AT45)&lt;4,"",Ayarlar!$F$25+AQ45*Ayarlar!$G$21+AR45*Ayarlar!$G$22+AS45*Ayarlar!$G$23+AT45*Ayarlar!$G$24)</f>
        <v/>
      </c>
    </row>
    <row r="46">
      <c r="A46" s="10" t="n">
        <v>42</v>
      </c>
      <c r="B46" s="11" t="n"/>
      <c r="C46" s="4" t="n"/>
      <c r="D46" s="12" t="n"/>
      <c r="E46" s="12" t="n"/>
      <c r="F46" s="13" t="n"/>
      <c r="G46" s="14">
        <f>IF(AND(D46="",E46=""),"",D46-IF(Ayarlar!$B$16&gt;0,E46/Ayarlar!$B$16,0))</f>
        <v/>
      </c>
      <c r="H46" s="12" t="n"/>
      <c r="I46" s="12" t="n"/>
      <c r="J46" s="13" t="n"/>
      <c r="K46" s="14">
        <f>IF(AND(H46="",I46=""),"",H46-IF(Ayarlar!$B$16&gt;0,I46/Ayarlar!$B$16,0))</f>
        <v/>
      </c>
      <c r="L46" s="12" t="n"/>
      <c r="M46" s="12" t="n"/>
      <c r="N46" s="13" t="n"/>
      <c r="O46" s="14">
        <f>IF(AND(L46="",M46=""),"",L46-IF(Ayarlar!$B$16&gt;0,M46/Ayarlar!$B$16,0))</f>
        <v/>
      </c>
      <c r="P46" s="12" t="n"/>
      <c r="Q46" s="12" t="n"/>
      <c r="R46" s="13" t="n"/>
      <c r="S46" s="14">
        <f>IF(AND(P46="",Q46=""),"",P46-IF(Ayarlar!$B$16&gt;0,Q46/Ayarlar!$B$16,0))</f>
        <v/>
      </c>
      <c r="T46" s="12" t="n"/>
      <c r="U46" s="12" t="n"/>
      <c r="V46" s="13" t="n"/>
      <c r="W46" s="14">
        <f>IF(AND(T46="",U46=""),"",T46-IF(Ayarlar!$B$16&gt;0,U46/Ayarlar!$B$16,0))</f>
        <v/>
      </c>
      <c r="X46" s="12" t="n"/>
      <c r="Y46" s="12" t="n"/>
      <c r="Z46" s="13" t="n"/>
      <c r="AA46" s="14">
        <f>IF(AND(X46="",Y46=""),"",X46-IF(Ayarlar!$B$16&gt;0,Y46/Ayarlar!$B$16,0))</f>
        <v/>
      </c>
      <c r="AB46" s="12" t="n"/>
      <c r="AC46" s="12" t="n"/>
      <c r="AD46" s="13" t="n"/>
      <c r="AE46" s="14">
        <f>IF(AND(AB46="",AC46=""),"",AB46-IF(Ayarlar!$B$16&gt;0,AC46/Ayarlar!$B$16,0))</f>
        <v/>
      </c>
      <c r="AF46" s="12" t="n"/>
      <c r="AG46" s="12" t="n"/>
      <c r="AH46" s="13" t="n"/>
      <c r="AI46" s="14">
        <f>IF(AND(AF46="",AG46=""),"",AF46-IF(Ayarlar!$B$16&gt;0,AG46/Ayarlar!$B$16,0))</f>
        <v/>
      </c>
      <c r="AJ46" s="15">
        <f>IF(COUNT(D46,E46,H46,I46,L46,M46,P46,Q46,T46,U46,X46,Y46,AB46,AC46,AF46,AG46)=0,"",D46+H46+L46+P46+T46+X46+AB46+AF46)</f>
        <v/>
      </c>
      <c r="AK46" s="15">
        <f>IF(COUNT(D46,E46,H46,I46,L46,M46,P46,Q46,T46,U46,X46,Y46,AB46,AC46,AF46,AG46)=0,"",E46+I46+M46+Q46+U46+Y46+AC46+AG46)</f>
        <v/>
      </c>
      <c r="AL46" s="15">
        <f>IF(COUNT(D46,E46,H46,I46,L46,M46,P46,Q46,T46,U46,X46,Y46,AB46,AC46,AF46,AG46)=0,"",IF(ISNUMBER(G46),IF(F46="",Ayarlar!$B$4,F46),0)+IF(ISNUMBER(K46),IF(J46="",Ayarlar!$B$5,J46),0)+IF(ISNUMBER(O46),IF(N46="",Ayarlar!$B$6,N46),0)+IF(ISNUMBER(S46),IF(R46="",Ayarlar!$B$7,R46),0)+IF(ISNUMBER(W46),IF(V46="",Ayarlar!$B$8,V46),0)+IF(ISNUMBER(AA46),IF(Z46="",Ayarlar!$B$9,Z46),0)+IF(ISNUMBER(AE46),IF(AD46="",Ayarlar!$B$10,AD46),0)+IF(ISNUMBER(AI46),IF(AH46="",Ayarlar!$B$11,AH46),0))</f>
        <v/>
      </c>
      <c r="AM46" s="15">
        <f>IF(COUNT(D46,E46,H46,I46,L46,M46,P46,Q46,T46,U46,X46,Y46,AB46,AC46,AF46,AG46)=0,"",AL46-AJ46-AK46)</f>
        <v/>
      </c>
      <c r="AN46" s="16">
        <f>IF(COUNT(D46,E46,H46,I46,L46,M46,P46,Q46,T46,U46,X46,Y46,AB46,AC46,AF46,AG46)=0,"",SUM(G46,K46,O46,S46,W46,AA46,AE46,AI46))</f>
        <v/>
      </c>
      <c r="AO46" s="17">
        <f>IF(OR(COUNT(D46,E46,H46,I46,L46,M46,P46,Q46,T46,U46,X46,Y46,AB46,AC46,AF46,AG46)=0,N(AL46)=0),"",AN46/AL46)</f>
        <v/>
      </c>
      <c r="AP46" s="18">
        <f>IF(OR(AO46="",AO45=""),"",AO46-AO45)</f>
        <v/>
      </c>
      <c r="AQ46" s="19">
        <f>IFERROR((IF(Ayarlar!$B$21=Ayarlar!$E$21,N(G46),0)+IF(Ayarlar!$B$22=Ayarlar!$E$21,N(K46),0)+IF(Ayarlar!$B$23=Ayarlar!$E$21,N(O46),0)+IF(Ayarlar!$B$24=Ayarlar!$E$21,N(S46),0)+IF(Ayarlar!$B$25=Ayarlar!$E$21,N(W46),0)+IF(Ayarlar!$B$26=Ayarlar!$E$21,N(AA46),0)+IF(Ayarlar!$B$27=Ayarlar!$E$21,N(AE46),0)+IF(Ayarlar!$B$28=Ayarlar!$E$21,N(AI46),0))/(IF(AND(Ayarlar!$B$21=Ayarlar!$E$21,ISNUMBER(G46)),IF(F46="",Ayarlar!$B$4,F46),0)+IF(AND(Ayarlar!$B$22=Ayarlar!$E$21,ISNUMBER(K46)),IF(J46="",Ayarlar!$B$5,J46),0)+IF(AND(Ayarlar!$B$23=Ayarlar!$E$21,ISNUMBER(O46)),IF(N46="",Ayarlar!$B$6,N46),0)+IF(AND(Ayarlar!$B$24=Ayarlar!$E$21,ISNUMBER(S46)),IF(R46="",Ayarlar!$B$7,R46),0)+IF(AND(Ayarlar!$B$25=Ayarlar!$E$21,ISNUMBER(W46)),IF(V46="",Ayarlar!$B$8,V46),0)+IF(AND(Ayarlar!$B$26=Ayarlar!$E$21,ISNUMBER(AA46)),IF(Z46="",Ayarlar!$B$9,Z46),0)+IF(AND(Ayarlar!$B$27=Ayarlar!$E$21,ISNUMBER(AE46)),IF(AD46="",Ayarlar!$B$10,AD46),0)+IF(AND(Ayarlar!$B$28=Ayarlar!$E$21,ISNUMBER(AI46)),IF(AH46="",Ayarlar!$B$11,AH46),0))*Ayarlar!$F$21,"")</f>
        <v/>
      </c>
      <c r="AR46" s="19">
        <f>IFERROR((IF(Ayarlar!$B$21=Ayarlar!$E$22,N(G46),0)+IF(Ayarlar!$B$22=Ayarlar!$E$22,N(K46),0)+IF(Ayarlar!$B$23=Ayarlar!$E$22,N(O46),0)+IF(Ayarlar!$B$24=Ayarlar!$E$22,N(S46),0)+IF(Ayarlar!$B$25=Ayarlar!$E$22,N(W46),0)+IF(Ayarlar!$B$26=Ayarlar!$E$22,N(AA46),0)+IF(Ayarlar!$B$27=Ayarlar!$E$22,N(AE46),0)+IF(Ayarlar!$B$28=Ayarlar!$E$22,N(AI46),0))/(IF(AND(Ayarlar!$B$21=Ayarlar!$E$22,ISNUMBER(G46)),IF(F46="",Ayarlar!$B$4,F46),0)+IF(AND(Ayarlar!$B$22=Ayarlar!$E$22,ISNUMBER(K46)),IF(J46="",Ayarlar!$B$5,J46),0)+IF(AND(Ayarlar!$B$23=Ayarlar!$E$22,ISNUMBER(O46)),IF(N46="",Ayarlar!$B$6,N46),0)+IF(AND(Ayarlar!$B$24=Ayarlar!$E$22,ISNUMBER(S46)),IF(R46="",Ayarlar!$B$7,R46),0)+IF(AND(Ayarlar!$B$25=Ayarlar!$E$22,ISNUMBER(W46)),IF(V46="",Ayarlar!$B$8,V46),0)+IF(AND(Ayarlar!$B$26=Ayarlar!$E$22,ISNUMBER(AA46)),IF(Z46="",Ayarlar!$B$9,Z46),0)+IF(AND(Ayarlar!$B$27=Ayarlar!$E$22,ISNUMBER(AE46)),IF(AD46="",Ayarlar!$B$10,AD46),0)+IF(AND(Ayarlar!$B$28=Ayarlar!$E$22,ISNUMBER(AI46)),IF(AH46="",Ayarlar!$B$11,AH46),0))*Ayarlar!$F$22,"")</f>
        <v/>
      </c>
      <c r="AS46" s="19">
        <f>IFERROR((IF(Ayarlar!$B$21=Ayarlar!$E$23,N(G46),0)+IF(Ayarlar!$B$22=Ayarlar!$E$23,N(K46),0)+IF(Ayarlar!$B$23=Ayarlar!$E$23,N(O46),0)+IF(Ayarlar!$B$24=Ayarlar!$E$23,N(S46),0)+IF(Ayarlar!$B$25=Ayarlar!$E$23,N(W46),0)+IF(Ayarlar!$B$26=Ayarlar!$E$23,N(AA46),0)+IF(Ayarlar!$B$27=Ayarlar!$E$23,N(AE46),0)+IF(Ayarlar!$B$28=Ayarlar!$E$23,N(AI46),0))/(IF(AND(Ayarlar!$B$21=Ayarlar!$E$23,ISNUMBER(G46)),IF(F46="",Ayarlar!$B$4,F46),0)+IF(AND(Ayarlar!$B$22=Ayarlar!$E$23,ISNUMBER(K46)),IF(J46="",Ayarlar!$B$5,J46),0)+IF(AND(Ayarlar!$B$23=Ayarlar!$E$23,ISNUMBER(O46)),IF(N46="",Ayarlar!$B$6,N46),0)+IF(AND(Ayarlar!$B$24=Ayarlar!$E$23,ISNUMBER(S46)),IF(R46="",Ayarlar!$B$7,R46),0)+IF(AND(Ayarlar!$B$25=Ayarlar!$E$23,ISNUMBER(W46)),IF(V46="",Ayarlar!$B$8,V46),0)+IF(AND(Ayarlar!$B$26=Ayarlar!$E$23,ISNUMBER(AA46)),IF(Z46="",Ayarlar!$B$9,Z46),0)+IF(AND(Ayarlar!$B$27=Ayarlar!$E$23,ISNUMBER(AE46)),IF(AD46="",Ayarlar!$B$10,AD46),0)+IF(AND(Ayarlar!$B$28=Ayarlar!$E$23,ISNUMBER(AI46)),IF(AH46="",Ayarlar!$B$11,AH46),0))*Ayarlar!$F$23,"")</f>
        <v/>
      </c>
      <c r="AT46" s="19">
        <f>IFERROR((IF(Ayarlar!$B$21=Ayarlar!$E$24,N(G46),0)+IF(Ayarlar!$B$22=Ayarlar!$E$24,N(K46),0)+IF(Ayarlar!$B$23=Ayarlar!$E$24,N(O46),0)+IF(Ayarlar!$B$24=Ayarlar!$E$24,N(S46),0)+IF(Ayarlar!$B$25=Ayarlar!$E$24,N(W46),0)+IF(Ayarlar!$B$26=Ayarlar!$E$24,N(AA46),0)+IF(Ayarlar!$B$27=Ayarlar!$E$24,N(AE46),0)+IF(Ayarlar!$B$28=Ayarlar!$E$24,N(AI46),0))/(IF(AND(Ayarlar!$B$21=Ayarlar!$E$24,ISNUMBER(G46)),IF(F46="",Ayarlar!$B$4,F46),0)+IF(AND(Ayarlar!$B$22=Ayarlar!$E$24,ISNUMBER(K46)),IF(J46="",Ayarlar!$B$5,J46),0)+IF(AND(Ayarlar!$B$23=Ayarlar!$E$24,ISNUMBER(O46)),IF(N46="",Ayarlar!$B$6,N46),0)+IF(AND(Ayarlar!$B$24=Ayarlar!$E$24,ISNUMBER(S46)),IF(R46="",Ayarlar!$B$7,R46),0)+IF(AND(Ayarlar!$B$25=Ayarlar!$E$24,ISNUMBER(W46)),IF(V46="",Ayarlar!$B$8,V46),0)+IF(AND(Ayarlar!$B$26=Ayarlar!$E$24,ISNUMBER(AA46)),IF(Z46="",Ayarlar!$B$9,Z46),0)+IF(AND(Ayarlar!$B$27=Ayarlar!$E$24,ISNUMBER(AE46)),IF(AD46="",Ayarlar!$B$10,AD46),0)+IF(AND(Ayarlar!$B$28=Ayarlar!$E$24,ISNUMBER(AI46)),IF(AH46="",Ayarlar!$B$11,AH46),0))*Ayarlar!$F$24,"")</f>
        <v/>
      </c>
      <c r="AU46" s="20">
        <f>IF(COUNT(AQ46,AR46,AS46,AT46)&lt;4,"",Ayarlar!$F$25+AQ46*Ayarlar!$G$21+AR46*Ayarlar!$G$22+AS46*Ayarlar!$G$23+AT46*Ayarlar!$G$24)</f>
        <v/>
      </c>
    </row>
    <row r="47">
      <c r="A47" s="10" t="n">
        <v>43</v>
      </c>
      <c r="B47" s="11" t="n"/>
      <c r="C47" s="4" t="n"/>
      <c r="D47" s="12" t="n"/>
      <c r="E47" s="12" t="n"/>
      <c r="F47" s="13" t="n"/>
      <c r="G47" s="14">
        <f>IF(AND(D47="",E47=""),"",D47-IF(Ayarlar!$B$16&gt;0,E47/Ayarlar!$B$16,0))</f>
        <v/>
      </c>
      <c r="H47" s="12" t="n"/>
      <c r="I47" s="12" t="n"/>
      <c r="J47" s="13" t="n"/>
      <c r="K47" s="14">
        <f>IF(AND(H47="",I47=""),"",H47-IF(Ayarlar!$B$16&gt;0,I47/Ayarlar!$B$16,0))</f>
        <v/>
      </c>
      <c r="L47" s="12" t="n"/>
      <c r="M47" s="12" t="n"/>
      <c r="N47" s="13" t="n"/>
      <c r="O47" s="14">
        <f>IF(AND(L47="",M47=""),"",L47-IF(Ayarlar!$B$16&gt;0,M47/Ayarlar!$B$16,0))</f>
        <v/>
      </c>
      <c r="P47" s="12" t="n"/>
      <c r="Q47" s="12" t="n"/>
      <c r="R47" s="13" t="n"/>
      <c r="S47" s="14">
        <f>IF(AND(P47="",Q47=""),"",P47-IF(Ayarlar!$B$16&gt;0,Q47/Ayarlar!$B$16,0))</f>
        <v/>
      </c>
      <c r="T47" s="12" t="n"/>
      <c r="U47" s="12" t="n"/>
      <c r="V47" s="13" t="n"/>
      <c r="W47" s="14">
        <f>IF(AND(T47="",U47=""),"",T47-IF(Ayarlar!$B$16&gt;0,U47/Ayarlar!$B$16,0))</f>
        <v/>
      </c>
      <c r="X47" s="12" t="n"/>
      <c r="Y47" s="12" t="n"/>
      <c r="Z47" s="13" t="n"/>
      <c r="AA47" s="14">
        <f>IF(AND(X47="",Y47=""),"",X47-IF(Ayarlar!$B$16&gt;0,Y47/Ayarlar!$B$16,0))</f>
        <v/>
      </c>
      <c r="AB47" s="12" t="n"/>
      <c r="AC47" s="12" t="n"/>
      <c r="AD47" s="13" t="n"/>
      <c r="AE47" s="14">
        <f>IF(AND(AB47="",AC47=""),"",AB47-IF(Ayarlar!$B$16&gt;0,AC47/Ayarlar!$B$16,0))</f>
        <v/>
      </c>
      <c r="AF47" s="12" t="n"/>
      <c r="AG47" s="12" t="n"/>
      <c r="AH47" s="13" t="n"/>
      <c r="AI47" s="14">
        <f>IF(AND(AF47="",AG47=""),"",AF47-IF(Ayarlar!$B$16&gt;0,AG47/Ayarlar!$B$16,0))</f>
        <v/>
      </c>
      <c r="AJ47" s="15">
        <f>IF(COUNT(D47,E47,H47,I47,L47,M47,P47,Q47,T47,U47,X47,Y47,AB47,AC47,AF47,AG47)=0,"",D47+H47+L47+P47+T47+X47+AB47+AF47)</f>
        <v/>
      </c>
      <c r="AK47" s="15">
        <f>IF(COUNT(D47,E47,H47,I47,L47,M47,P47,Q47,T47,U47,X47,Y47,AB47,AC47,AF47,AG47)=0,"",E47+I47+M47+Q47+U47+Y47+AC47+AG47)</f>
        <v/>
      </c>
      <c r="AL47" s="15">
        <f>IF(COUNT(D47,E47,H47,I47,L47,M47,P47,Q47,T47,U47,X47,Y47,AB47,AC47,AF47,AG47)=0,"",IF(ISNUMBER(G47),IF(F47="",Ayarlar!$B$4,F47),0)+IF(ISNUMBER(K47),IF(J47="",Ayarlar!$B$5,J47),0)+IF(ISNUMBER(O47),IF(N47="",Ayarlar!$B$6,N47),0)+IF(ISNUMBER(S47),IF(R47="",Ayarlar!$B$7,R47),0)+IF(ISNUMBER(W47),IF(V47="",Ayarlar!$B$8,V47),0)+IF(ISNUMBER(AA47),IF(Z47="",Ayarlar!$B$9,Z47),0)+IF(ISNUMBER(AE47),IF(AD47="",Ayarlar!$B$10,AD47),0)+IF(ISNUMBER(AI47),IF(AH47="",Ayarlar!$B$11,AH47),0))</f>
        <v/>
      </c>
      <c r="AM47" s="15">
        <f>IF(COUNT(D47,E47,H47,I47,L47,M47,P47,Q47,T47,U47,X47,Y47,AB47,AC47,AF47,AG47)=0,"",AL47-AJ47-AK47)</f>
        <v/>
      </c>
      <c r="AN47" s="16">
        <f>IF(COUNT(D47,E47,H47,I47,L47,M47,P47,Q47,T47,U47,X47,Y47,AB47,AC47,AF47,AG47)=0,"",SUM(G47,K47,O47,S47,W47,AA47,AE47,AI47))</f>
        <v/>
      </c>
      <c r="AO47" s="17">
        <f>IF(OR(COUNT(D47,E47,H47,I47,L47,M47,P47,Q47,T47,U47,X47,Y47,AB47,AC47,AF47,AG47)=0,N(AL47)=0),"",AN47/AL47)</f>
        <v/>
      </c>
      <c r="AP47" s="18">
        <f>IF(OR(AO47="",AO46=""),"",AO47-AO46)</f>
        <v/>
      </c>
      <c r="AQ47" s="19">
        <f>IFERROR((IF(Ayarlar!$B$21=Ayarlar!$E$21,N(G47),0)+IF(Ayarlar!$B$22=Ayarlar!$E$21,N(K47),0)+IF(Ayarlar!$B$23=Ayarlar!$E$21,N(O47),0)+IF(Ayarlar!$B$24=Ayarlar!$E$21,N(S47),0)+IF(Ayarlar!$B$25=Ayarlar!$E$21,N(W47),0)+IF(Ayarlar!$B$26=Ayarlar!$E$21,N(AA47),0)+IF(Ayarlar!$B$27=Ayarlar!$E$21,N(AE47),0)+IF(Ayarlar!$B$28=Ayarlar!$E$21,N(AI47),0))/(IF(AND(Ayarlar!$B$21=Ayarlar!$E$21,ISNUMBER(G47)),IF(F47="",Ayarlar!$B$4,F47),0)+IF(AND(Ayarlar!$B$22=Ayarlar!$E$21,ISNUMBER(K47)),IF(J47="",Ayarlar!$B$5,J47),0)+IF(AND(Ayarlar!$B$23=Ayarlar!$E$21,ISNUMBER(O47)),IF(N47="",Ayarlar!$B$6,N47),0)+IF(AND(Ayarlar!$B$24=Ayarlar!$E$21,ISNUMBER(S47)),IF(R47="",Ayarlar!$B$7,R47),0)+IF(AND(Ayarlar!$B$25=Ayarlar!$E$21,ISNUMBER(W47)),IF(V47="",Ayarlar!$B$8,V47),0)+IF(AND(Ayarlar!$B$26=Ayarlar!$E$21,ISNUMBER(AA47)),IF(Z47="",Ayarlar!$B$9,Z47),0)+IF(AND(Ayarlar!$B$27=Ayarlar!$E$21,ISNUMBER(AE47)),IF(AD47="",Ayarlar!$B$10,AD47),0)+IF(AND(Ayarlar!$B$28=Ayarlar!$E$21,ISNUMBER(AI47)),IF(AH47="",Ayarlar!$B$11,AH47),0))*Ayarlar!$F$21,"")</f>
        <v/>
      </c>
      <c r="AR47" s="19">
        <f>IFERROR((IF(Ayarlar!$B$21=Ayarlar!$E$22,N(G47),0)+IF(Ayarlar!$B$22=Ayarlar!$E$22,N(K47),0)+IF(Ayarlar!$B$23=Ayarlar!$E$22,N(O47),0)+IF(Ayarlar!$B$24=Ayarlar!$E$22,N(S47),0)+IF(Ayarlar!$B$25=Ayarlar!$E$22,N(W47),0)+IF(Ayarlar!$B$26=Ayarlar!$E$22,N(AA47),0)+IF(Ayarlar!$B$27=Ayarlar!$E$22,N(AE47),0)+IF(Ayarlar!$B$28=Ayarlar!$E$22,N(AI47),0))/(IF(AND(Ayarlar!$B$21=Ayarlar!$E$22,ISNUMBER(G47)),IF(F47="",Ayarlar!$B$4,F47),0)+IF(AND(Ayarlar!$B$22=Ayarlar!$E$22,ISNUMBER(K47)),IF(J47="",Ayarlar!$B$5,J47),0)+IF(AND(Ayarlar!$B$23=Ayarlar!$E$22,ISNUMBER(O47)),IF(N47="",Ayarlar!$B$6,N47),0)+IF(AND(Ayarlar!$B$24=Ayarlar!$E$22,ISNUMBER(S47)),IF(R47="",Ayarlar!$B$7,R47),0)+IF(AND(Ayarlar!$B$25=Ayarlar!$E$22,ISNUMBER(W47)),IF(V47="",Ayarlar!$B$8,V47),0)+IF(AND(Ayarlar!$B$26=Ayarlar!$E$22,ISNUMBER(AA47)),IF(Z47="",Ayarlar!$B$9,Z47),0)+IF(AND(Ayarlar!$B$27=Ayarlar!$E$22,ISNUMBER(AE47)),IF(AD47="",Ayarlar!$B$10,AD47),0)+IF(AND(Ayarlar!$B$28=Ayarlar!$E$22,ISNUMBER(AI47)),IF(AH47="",Ayarlar!$B$11,AH47),0))*Ayarlar!$F$22,"")</f>
        <v/>
      </c>
      <c r="AS47" s="19">
        <f>IFERROR((IF(Ayarlar!$B$21=Ayarlar!$E$23,N(G47),0)+IF(Ayarlar!$B$22=Ayarlar!$E$23,N(K47),0)+IF(Ayarlar!$B$23=Ayarlar!$E$23,N(O47),0)+IF(Ayarlar!$B$24=Ayarlar!$E$23,N(S47),0)+IF(Ayarlar!$B$25=Ayarlar!$E$23,N(W47),0)+IF(Ayarlar!$B$26=Ayarlar!$E$23,N(AA47),0)+IF(Ayarlar!$B$27=Ayarlar!$E$23,N(AE47),0)+IF(Ayarlar!$B$28=Ayarlar!$E$23,N(AI47),0))/(IF(AND(Ayarlar!$B$21=Ayarlar!$E$23,ISNUMBER(G47)),IF(F47="",Ayarlar!$B$4,F47),0)+IF(AND(Ayarlar!$B$22=Ayarlar!$E$23,ISNUMBER(K47)),IF(J47="",Ayarlar!$B$5,J47),0)+IF(AND(Ayarlar!$B$23=Ayarlar!$E$23,ISNUMBER(O47)),IF(N47="",Ayarlar!$B$6,N47),0)+IF(AND(Ayarlar!$B$24=Ayarlar!$E$23,ISNUMBER(S47)),IF(R47="",Ayarlar!$B$7,R47),0)+IF(AND(Ayarlar!$B$25=Ayarlar!$E$23,ISNUMBER(W47)),IF(V47="",Ayarlar!$B$8,V47),0)+IF(AND(Ayarlar!$B$26=Ayarlar!$E$23,ISNUMBER(AA47)),IF(Z47="",Ayarlar!$B$9,Z47),0)+IF(AND(Ayarlar!$B$27=Ayarlar!$E$23,ISNUMBER(AE47)),IF(AD47="",Ayarlar!$B$10,AD47),0)+IF(AND(Ayarlar!$B$28=Ayarlar!$E$23,ISNUMBER(AI47)),IF(AH47="",Ayarlar!$B$11,AH47),0))*Ayarlar!$F$23,"")</f>
        <v/>
      </c>
      <c r="AT47" s="19">
        <f>IFERROR((IF(Ayarlar!$B$21=Ayarlar!$E$24,N(G47),0)+IF(Ayarlar!$B$22=Ayarlar!$E$24,N(K47),0)+IF(Ayarlar!$B$23=Ayarlar!$E$24,N(O47),0)+IF(Ayarlar!$B$24=Ayarlar!$E$24,N(S47),0)+IF(Ayarlar!$B$25=Ayarlar!$E$24,N(W47),0)+IF(Ayarlar!$B$26=Ayarlar!$E$24,N(AA47),0)+IF(Ayarlar!$B$27=Ayarlar!$E$24,N(AE47),0)+IF(Ayarlar!$B$28=Ayarlar!$E$24,N(AI47),0))/(IF(AND(Ayarlar!$B$21=Ayarlar!$E$24,ISNUMBER(G47)),IF(F47="",Ayarlar!$B$4,F47),0)+IF(AND(Ayarlar!$B$22=Ayarlar!$E$24,ISNUMBER(K47)),IF(J47="",Ayarlar!$B$5,J47),0)+IF(AND(Ayarlar!$B$23=Ayarlar!$E$24,ISNUMBER(O47)),IF(N47="",Ayarlar!$B$6,N47),0)+IF(AND(Ayarlar!$B$24=Ayarlar!$E$24,ISNUMBER(S47)),IF(R47="",Ayarlar!$B$7,R47),0)+IF(AND(Ayarlar!$B$25=Ayarlar!$E$24,ISNUMBER(W47)),IF(V47="",Ayarlar!$B$8,V47),0)+IF(AND(Ayarlar!$B$26=Ayarlar!$E$24,ISNUMBER(AA47)),IF(Z47="",Ayarlar!$B$9,Z47),0)+IF(AND(Ayarlar!$B$27=Ayarlar!$E$24,ISNUMBER(AE47)),IF(AD47="",Ayarlar!$B$10,AD47),0)+IF(AND(Ayarlar!$B$28=Ayarlar!$E$24,ISNUMBER(AI47)),IF(AH47="",Ayarlar!$B$11,AH47),0))*Ayarlar!$F$24,"")</f>
        <v/>
      </c>
      <c r="AU47" s="20">
        <f>IF(COUNT(AQ47,AR47,AS47,AT47)&lt;4,"",Ayarlar!$F$25+AQ47*Ayarlar!$G$21+AR47*Ayarlar!$G$22+AS47*Ayarlar!$G$23+AT47*Ayarlar!$G$24)</f>
        <v/>
      </c>
    </row>
    <row r="48">
      <c r="A48" s="10" t="n">
        <v>44</v>
      </c>
      <c r="B48" s="11" t="n"/>
      <c r="C48" s="4" t="n"/>
      <c r="D48" s="12" t="n"/>
      <c r="E48" s="12" t="n"/>
      <c r="F48" s="13" t="n"/>
      <c r="G48" s="14">
        <f>IF(AND(D48="",E48=""),"",D48-IF(Ayarlar!$B$16&gt;0,E48/Ayarlar!$B$16,0))</f>
        <v/>
      </c>
      <c r="H48" s="12" t="n"/>
      <c r="I48" s="12" t="n"/>
      <c r="J48" s="13" t="n"/>
      <c r="K48" s="14">
        <f>IF(AND(H48="",I48=""),"",H48-IF(Ayarlar!$B$16&gt;0,I48/Ayarlar!$B$16,0))</f>
        <v/>
      </c>
      <c r="L48" s="12" t="n"/>
      <c r="M48" s="12" t="n"/>
      <c r="N48" s="13" t="n"/>
      <c r="O48" s="14">
        <f>IF(AND(L48="",M48=""),"",L48-IF(Ayarlar!$B$16&gt;0,M48/Ayarlar!$B$16,0))</f>
        <v/>
      </c>
      <c r="P48" s="12" t="n"/>
      <c r="Q48" s="12" t="n"/>
      <c r="R48" s="13" t="n"/>
      <c r="S48" s="14">
        <f>IF(AND(P48="",Q48=""),"",P48-IF(Ayarlar!$B$16&gt;0,Q48/Ayarlar!$B$16,0))</f>
        <v/>
      </c>
      <c r="T48" s="12" t="n"/>
      <c r="U48" s="12" t="n"/>
      <c r="V48" s="13" t="n"/>
      <c r="W48" s="14">
        <f>IF(AND(T48="",U48=""),"",T48-IF(Ayarlar!$B$16&gt;0,U48/Ayarlar!$B$16,0))</f>
        <v/>
      </c>
      <c r="X48" s="12" t="n"/>
      <c r="Y48" s="12" t="n"/>
      <c r="Z48" s="13" t="n"/>
      <c r="AA48" s="14">
        <f>IF(AND(X48="",Y48=""),"",X48-IF(Ayarlar!$B$16&gt;0,Y48/Ayarlar!$B$16,0))</f>
        <v/>
      </c>
      <c r="AB48" s="12" t="n"/>
      <c r="AC48" s="12" t="n"/>
      <c r="AD48" s="13" t="n"/>
      <c r="AE48" s="14">
        <f>IF(AND(AB48="",AC48=""),"",AB48-IF(Ayarlar!$B$16&gt;0,AC48/Ayarlar!$B$16,0))</f>
        <v/>
      </c>
      <c r="AF48" s="12" t="n"/>
      <c r="AG48" s="12" t="n"/>
      <c r="AH48" s="13" t="n"/>
      <c r="AI48" s="14">
        <f>IF(AND(AF48="",AG48=""),"",AF48-IF(Ayarlar!$B$16&gt;0,AG48/Ayarlar!$B$16,0))</f>
        <v/>
      </c>
      <c r="AJ48" s="15">
        <f>IF(COUNT(D48,E48,H48,I48,L48,M48,P48,Q48,T48,U48,X48,Y48,AB48,AC48,AF48,AG48)=0,"",D48+H48+L48+P48+T48+X48+AB48+AF48)</f>
        <v/>
      </c>
      <c r="AK48" s="15">
        <f>IF(COUNT(D48,E48,H48,I48,L48,M48,P48,Q48,T48,U48,X48,Y48,AB48,AC48,AF48,AG48)=0,"",E48+I48+M48+Q48+U48+Y48+AC48+AG48)</f>
        <v/>
      </c>
      <c r="AL48" s="15">
        <f>IF(COUNT(D48,E48,H48,I48,L48,M48,P48,Q48,T48,U48,X48,Y48,AB48,AC48,AF48,AG48)=0,"",IF(ISNUMBER(G48),IF(F48="",Ayarlar!$B$4,F48),0)+IF(ISNUMBER(K48),IF(J48="",Ayarlar!$B$5,J48),0)+IF(ISNUMBER(O48),IF(N48="",Ayarlar!$B$6,N48),0)+IF(ISNUMBER(S48),IF(R48="",Ayarlar!$B$7,R48),0)+IF(ISNUMBER(W48),IF(V48="",Ayarlar!$B$8,V48),0)+IF(ISNUMBER(AA48),IF(Z48="",Ayarlar!$B$9,Z48),0)+IF(ISNUMBER(AE48),IF(AD48="",Ayarlar!$B$10,AD48),0)+IF(ISNUMBER(AI48),IF(AH48="",Ayarlar!$B$11,AH48),0))</f>
        <v/>
      </c>
      <c r="AM48" s="15">
        <f>IF(COUNT(D48,E48,H48,I48,L48,M48,P48,Q48,T48,U48,X48,Y48,AB48,AC48,AF48,AG48)=0,"",AL48-AJ48-AK48)</f>
        <v/>
      </c>
      <c r="AN48" s="16">
        <f>IF(COUNT(D48,E48,H48,I48,L48,M48,P48,Q48,T48,U48,X48,Y48,AB48,AC48,AF48,AG48)=0,"",SUM(G48,K48,O48,S48,W48,AA48,AE48,AI48))</f>
        <v/>
      </c>
      <c r="AO48" s="17">
        <f>IF(OR(COUNT(D48,E48,H48,I48,L48,M48,P48,Q48,T48,U48,X48,Y48,AB48,AC48,AF48,AG48)=0,N(AL48)=0),"",AN48/AL48)</f>
        <v/>
      </c>
      <c r="AP48" s="18">
        <f>IF(OR(AO48="",AO47=""),"",AO48-AO47)</f>
        <v/>
      </c>
      <c r="AQ48" s="19">
        <f>IFERROR((IF(Ayarlar!$B$21=Ayarlar!$E$21,N(G48),0)+IF(Ayarlar!$B$22=Ayarlar!$E$21,N(K48),0)+IF(Ayarlar!$B$23=Ayarlar!$E$21,N(O48),0)+IF(Ayarlar!$B$24=Ayarlar!$E$21,N(S48),0)+IF(Ayarlar!$B$25=Ayarlar!$E$21,N(W48),0)+IF(Ayarlar!$B$26=Ayarlar!$E$21,N(AA48),0)+IF(Ayarlar!$B$27=Ayarlar!$E$21,N(AE48),0)+IF(Ayarlar!$B$28=Ayarlar!$E$21,N(AI48),0))/(IF(AND(Ayarlar!$B$21=Ayarlar!$E$21,ISNUMBER(G48)),IF(F48="",Ayarlar!$B$4,F48),0)+IF(AND(Ayarlar!$B$22=Ayarlar!$E$21,ISNUMBER(K48)),IF(J48="",Ayarlar!$B$5,J48),0)+IF(AND(Ayarlar!$B$23=Ayarlar!$E$21,ISNUMBER(O48)),IF(N48="",Ayarlar!$B$6,N48),0)+IF(AND(Ayarlar!$B$24=Ayarlar!$E$21,ISNUMBER(S48)),IF(R48="",Ayarlar!$B$7,R48),0)+IF(AND(Ayarlar!$B$25=Ayarlar!$E$21,ISNUMBER(W48)),IF(V48="",Ayarlar!$B$8,V48),0)+IF(AND(Ayarlar!$B$26=Ayarlar!$E$21,ISNUMBER(AA48)),IF(Z48="",Ayarlar!$B$9,Z48),0)+IF(AND(Ayarlar!$B$27=Ayarlar!$E$21,ISNUMBER(AE48)),IF(AD48="",Ayarlar!$B$10,AD48),0)+IF(AND(Ayarlar!$B$28=Ayarlar!$E$21,ISNUMBER(AI48)),IF(AH48="",Ayarlar!$B$11,AH48),0))*Ayarlar!$F$21,"")</f>
        <v/>
      </c>
      <c r="AR48" s="19">
        <f>IFERROR((IF(Ayarlar!$B$21=Ayarlar!$E$22,N(G48),0)+IF(Ayarlar!$B$22=Ayarlar!$E$22,N(K48),0)+IF(Ayarlar!$B$23=Ayarlar!$E$22,N(O48),0)+IF(Ayarlar!$B$24=Ayarlar!$E$22,N(S48),0)+IF(Ayarlar!$B$25=Ayarlar!$E$22,N(W48),0)+IF(Ayarlar!$B$26=Ayarlar!$E$22,N(AA48),0)+IF(Ayarlar!$B$27=Ayarlar!$E$22,N(AE48),0)+IF(Ayarlar!$B$28=Ayarlar!$E$22,N(AI48),0))/(IF(AND(Ayarlar!$B$21=Ayarlar!$E$22,ISNUMBER(G48)),IF(F48="",Ayarlar!$B$4,F48),0)+IF(AND(Ayarlar!$B$22=Ayarlar!$E$22,ISNUMBER(K48)),IF(J48="",Ayarlar!$B$5,J48),0)+IF(AND(Ayarlar!$B$23=Ayarlar!$E$22,ISNUMBER(O48)),IF(N48="",Ayarlar!$B$6,N48),0)+IF(AND(Ayarlar!$B$24=Ayarlar!$E$22,ISNUMBER(S48)),IF(R48="",Ayarlar!$B$7,R48),0)+IF(AND(Ayarlar!$B$25=Ayarlar!$E$22,ISNUMBER(W48)),IF(V48="",Ayarlar!$B$8,V48),0)+IF(AND(Ayarlar!$B$26=Ayarlar!$E$22,ISNUMBER(AA48)),IF(Z48="",Ayarlar!$B$9,Z48),0)+IF(AND(Ayarlar!$B$27=Ayarlar!$E$22,ISNUMBER(AE48)),IF(AD48="",Ayarlar!$B$10,AD48),0)+IF(AND(Ayarlar!$B$28=Ayarlar!$E$22,ISNUMBER(AI48)),IF(AH48="",Ayarlar!$B$11,AH48),0))*Ayarlar!$F$22,"")</f>
        <v/>
      </c>
      <c r="AS48" s="19">
        <f>IFERROR((IF(Ayarlar!$B$21=Ayarlar!$E$23,N(G48),0)+IF(Ayarlar!$B$22=Ayarlar!$E$23,N(K48),0)+IF(Ayarlar!$B$23=Ayarlar!$E$23,N(O48),0)+IF(Ayarlar!$B$24=Ayarlar!$E$23,N(S48),0)+IF(Ayarlar!$B$25=Ayarlar!$E$23,N(W48),0)+IF(Ayarlar!$B$26=Ayarlar!$E$23,N(AA48),0)+IF(Ayarlar!$B$27=Ayarlar!$E$23,N(AE48),0)+IF(Ayarlar!$B$28=Ayarlar!$E$23,N(AI48),0))/(IF(AND(Ayarlar!$B$21=Ayarlar!$E$23,ISNUMBER(G48)),IF(F48="",Ayarlar!$B$4,F48),0)+IF(AND(Ayarlar!$B$22=Ayarlar!$E$23,ISNUMBER(K48)),IF(J48="",Ayarlar!$B$5,J48),0)+IF(AND(Ayarlar!$B$23=Ayarlar!$E$23,ISNUMBER(O48)),IF(N48="",Ayarlar!$B$6,N48),0)+IF(AND(Ayarlar!$B$24=Ayarlar!$E$23,ISNUMBER(S48)),IF(R48="",Ayarlar!$B$7,R48),0)+IF(AND(Ayarlar!$B$25=Ayarlar!$E$23,ISNUMBER(W48)),IF(V48="",Ayarlar!$B$8,V48),0)+IF(AND(Ayarlar!$B$26=Ayarlar!$E$23,ISNUMBER(AA48)),IF(Z48="",Ayarlar!$B$9,Z48),0)+IF(AND(Ayarlar!$B$27=Ayarlar!$E$23,ISNUMBER(AE48)),IF(AD48="",Ayarlar!$B$10,AD48),0)+IF(AND(Ayarlar!$B$28=Ayarlar!$E$23,ISNUMBER(AI48)),IF(AH48="",Ayarlar!$B$11,AH48),0))*Ayarlar!$F$23,"")</f>
        <v/>
      </c>
      <c r="AT48" s="19">
        <f>IFERROR((IF(Ayarlar!$B$21=Ayarlar!$E$24,N(G48),0)+IF(Ayarlar!$B$22=Ayarlar!$E$24,N(K48),0)+IF(Ayarlar!$B$23=Ayarlar!$E$24,N(O48),0)+IF(Ayarlar!$B$24=Ayarlar!$E$24,N(S48),0)+IF(Ayarlar!$B$25=Ayarlar!$E$24,N(W48),0)+IF(Ayarlar!$B$26=Ayarlar!$E$24,N(AA48),0)+IF(Ayarlar!$B$27=Ayarlar!$E$24,N(AE48),0)+IF(Ayarlar!$B$28=Ayarlar!$E$24,N(AI48),0))/(IF(AND(Ayarlar!$B$21=Ayarlar!$E$24,ISNUMBER(G48)),IF(F48="",Ayarlar!$B$4,F48),0)+IF(AND(Ayarlar!$B$22=Ayarlar!$E$24,ISNUMBER(K48)),IF(J48="",Ayarlar!$B$5,J48),0)+IF(AND(Ayarlar!$B$23=Ayarlar!$E$24,ISNUMBER(O48)),IF(N48="",Ayarlar!$B$6,N48),0)+IF(AND(Ayarlar!$B$24=Ayarlar!$E$24,ISNUMBER(S48)),IF(R48="",Ayarlar!$B$7,R48),0)+IF(AND(Ayarlar!$B$25=Ayarlar!$E$24,ISNUMBER(W48)),IF(V48="",Ayarlar!$B$8,V48),0)+IF(AND(Ayarlar!$B$26=Ayarlar!$E$24,ISNUMBER(AA48)),IF(Z48="",Ayarlar!$B$9,Z48),0)+IF(AND(Ayarlar!$B$27=Ayarlar!$E$24,ISNUMBER(AE48)),IF(AD48="",Ayarlar!$B$10,AD48),0)+IF(AND(Ayarlar!$B$28=Ayarlar!$E$24,ISNUMBER(AI48)),IF(AH48="",Ayarlar!$B$11,AH48),0))*Ayarlar!$F$24,"")</f>
        <v/>
      </c>
      <c r="AU48" s="20">
        <f>IF(COUNT(AQ48,AR48,AS48,AT48)&lt;4,"",Ayarlar!$F$25+AQ48*Ayarlar!$G$21+AR48*Ayarlar!$G$22+AS48*Ayarlar!$G$23+AT48*Ayarlar!$G$24)</f>
        <v/>
      </c>
    </row>
    <row r="49">
      <c r="A49" s="10" t="n">
        <v>45</v>
      </c>
      <c r="B49" s="11" t="n"/>
      <c r="C49" s="4" t="n"/>
      <c r="D49" s="12" t="n"/>
      <c r="E49" s="12" t="n"/>
      <c r="F49" s="13" t="n"/>
      <c r="G49" s="14">
        <f>IF(AND(D49="",E49=""),"",D49-IF(Ayarlar!$B$16&gt;0,E49/Ayarlar!$B$16,0))</f>
        <v/>
      </c>
      <c r="H49" s="12" t="n"/>
      <c r="I49" s="12" t="n"/>
      <c r="J49" s="13" t="n"/>
      <c r="K49" s="14">
        <f>IF(AND(H49="",I49=""),"",H49-IF(Ayarlar!$B$16&gt;0,I49/Ayarlar!$B$16,0))</f>
        <v/>
      </c>
      <c r="L49" s="12" t="n"/>
      <c r="M49" s="12" t="n"/>
      <c r="N49" s="13" t="n"/>
      <c r="O49" s="14">
        <f>IF(AND(L49="",M49=""),"",L49-IF(Ayarlar!$B$16&gt;0,M49/Ayarlar!$B$16,0))</f>
        <v/>
      </c>
      <c r="P49" s="12" t="n"/>
      <c r="Q49" s="12" t="n"/>
      <c r="R49" s="13" t="n"/>
      <c r="S49" s="14">
        <f>IF(AND(P49="",Q49=""),"",P49-IF(Ayarlar!$B$16&gt;0,Q49/Ayarlar!$B$16,0))</f>
        <v/>
      </c>
      <c r="T49" s="12" t="n"/>
      <c r="U49" s="12" t="n"/>
      <c r="V49" s="13" t="n"/>
      <c r="W49" s="14">
        <f>IF(AND(T49="",U49=""),"",T49-IF(Ayarlar!$B$16&gt;0,U49/Ayarlar!$B$16,0))</f>
        <v/>
      </c>
      <c r="X49" s="12" t="n"/>
      <c r="Y49" s="12" t="n"/>
      <c r="Z49" s="13" t="n"/>
      <c r="AA49" s="14">
        <f>IF(AND(X49="",Y49=""),"",X49-IF(Ayarlar!$B$16&gt;0,Y49/Ayarlar!$B$16,0))</f>
        <v/>
      </c>
      <c r="AB49" s="12" t="n"/>
      <c r="AC49" s="12" t="n"/>
      <c r="AD49" s="13" t="n"/>
      <c r="AE49" s="14">
        <f>IF(AND(AB49="",AC49=""),"",AB49-IF(Ayarlar!$B$16&gt;0,AC49/Ayarlar!$B$16,0))</f>
        <v/>
      </c>
      <c r="AF49" s="12" t="n"/>
      <c r="AG49" s="12" t="n"/>
      <c r="AH49" s="13" t="n"/>
      <c r="AI49" s="14">
        <f>IF(AND(AF49="",AG49=""),"",AF49-IF(Ayarlar!$B$16&gt;0,AG49/Ayarlar!$B$16,0))</f>
        <v/>
      </c>
      <c r="AJ49" s="15">
        <f>IF(COUNT(D49,E49,H49,I49,L49,M49,P49,Q49,T49,U49,X49,Y49,AB49,AC49,AF49,AG49)=0,"",D49+H49+L49+P49+T49+X49+AB49+AF49)</f>
        <v/>
      </c>
      <c r="AK49" s="15">
        <f>IF(COUNT(D49,E49,H49,I49,L49,M49,P49,Q49,T49,U49,X49,Y49,AB49,AC49,AF49,AG49)=0,"",E49+I49+M49+Q49+U49+Y49+AC49+AG49)</f>
        <v/>
      </c>
      <c r="AL49" s="15">
        <f>IF(COUNT(D49,E49,H49,I49,L49,M49,P49,Q49,T49,U49,X49,Y49,AB49,AC49,AF49,AG49)=0,"",IF(ISNUMBER(G49),IF(F49="",Ayarlar!$B$4,F49),0)+IF(ISNUMBER(K49),IF(J49="",Ayarlar!$B$5,J49),0)+IF(ISNUMBER(O49),IF(N49="",Ayarlar!$B$6,N49),0)+IF(ISNUMBER(S49),IF(R49="",Ayarlar!$B$7,R49),0)+IF(ISNUMBER(W49),IF(V49="",Ayarlar!$B$8,V49),0)+IF(ISNUMBER(AA49),IF(Z49="",Ayarlar!$B$9,Z49),0)+IF(ISNUMBER(AE49),IF(AD49="",Ayarlar!$B$10,AD49),0)+IF(ISNUMBER(AI49),IF(AH49="",Ayarlar!$B$11,AH49),0))</f>
        <v/>
      </c>
      <c r="AM49" s="15">
        <f>IF(COUNT(D49,E49,H49,I49,L49,M49,P49,Q49,T49,U49,X49,Y49,AB49,AC49,AF49,AG49)=0,"",AL49-AJ49-AK49)</f>
        <v/>
      </c>
      <c r="AN49" s="16">
        <f>IF(COUNT(D49,E49,H49,I49,L49,M49,P49,Q49,T49,U49,X49,Y49,AB49,AC49,AF49,AG49)=0,"",SUM(G49,K49,O49,S49,W49,AA49,AE49,AI49))</f>
        <v/>
      </c>
      <c r="AO49" s="17">
        <f>IF(OR(COUNT(D49,E49,H49,I49,L49,M49,P49,Q49,T49,U49,X49,Y49,AB49,AC49,AF49,AG49)=0,N(AL49)=0),"",AN49/AL49)</f>
        <v/>
      </c>
      <c r="AP49" s="18">
        <f>IF(OR(AO49="",AO48=""),"",AO49-AO48)</f>
        <v/>
      </c>
      <c r="AQ49" s="19">
        <f>IFERROR((IF(Ayarlar!$B$21=Ayarlar!$E$21,N(G49),0)+IF(Ayarlar!$B$22=Ayarlar!$E$21,N(K49),0)+IF(Ayarlar!$B$23=Ayarlar!$E$21,N(O49),0)+IF(Ayarlar!$B$24=Ayarlar!$E$21,N(S49),0)+IF(Ayarlar!$B$25=Ayarlar!$E$21,N(W49),0)+IF(Ayarlar!$B$26=Ayarlar!$E$21,N(AA49),0)+IF(Ayarlar!$B$27=Ayarlar!$E$21,N(AE49),0)+IF(Ayarlar!$B$28=Ayarlar!$E$21,N(AI49),0))/(IF(AND(Ayarlar!$B$21=Ayarlar!$E$21,ISNUMBER(G49)),IF(F49="",Ayarlar!$B$4,F49),0)+IF(AND(Ayarlar!$B$22=Ayarlar!$E$21,ISNUMBER(K49)),IF(J49="",Ayarlar!$B$5,J49),0)+IF(AND(Ayarlar!$B$23=Ayarlar!$E$21,ISNUMBER(O49)),IF(N49="",Ayarlar!$B$6,N49),0)+IF(AND(Ayarlar!$B$24=Ayarlar!$E$21,ISNUMBER(S49)),IF(R49="",Ayarlar!$B$7,R49),0)+IF(AND(Ayarlar!$B$25=Ayarlar!$E$21,ISNUMBER(W49)),IF(V49="",Ayarlar!$B$8,V49),0)+IF(AND(Ayarlar!$B$26=Ayarlar!$E$21,ISNUMBER(AA49)),IF(Z49="",Ayarlar!$B$9,Z49),0)+IF(AND(Ayarlar!$B$27=Ayarlar!$E$21,ISNUMBER(AE49)),IF(AD49="",Ayarlar!$B$10,AD49),0)+IF(AND(Ayarlar!$B$28=Ayarlar!$E$21,ISNUMBER(AI49)),IF(AH49="",Ayarlar!$B$11,AH49),0))*Ayarlar!$F$21,"")</f>
        <v/>
      </c>
      <c r="AR49" s="19">
        <f>IFERROR((IF(Ayarlar!$B$21=Ayarlar!$E$22,N(G49),0)+IF(Ayarlar!$B$22=Ayarlar!$E$22,N(K49),0)+IF(Ayarlar!$B$23=Ayarlar!$E$22,N(O49),0)+IF(Ayarlar!$B$24=Ayarlar!$E$22,N(S49),0)+IF(Ayarlar!$B$25=Ayarlar!$E$22,N(W49),0)+IF(Ayarlar!$B$26=Ayarlar!$E$22,N(AA49),0)+IF(Ayarlar!$B$27=Ayarlar!$E$22,N(AE49),0)+IF(Ayarlar!$B$28=Ayarlar!$E$22,N(AI49),0))/(IF(AND(Ayarlar!$B$21=Ayarlar!$E$22,ISNUMBER(G49)),IF(F49="",Ayarlar!$B$4,F49),0)+IF(AND(Ayarlar!$B$22=Ayarlar!$E$22,ISNUMBER(K49)),IF(J49="",Ayarlar!$B$5,J49),0)+IF(AND(Ayarlar!$B$23=Ayarlar!$E$22,ISNUMBER(O49)),IF(N49="",Ayarlar!$B$6,N49),0)+IF(AND(Ayarlar!$B$24=Ayarlar!$E$22,ISNUMBER(S49)),IF(R49="",Ayarlar!$B$7,R49),0)+IF(AND(Ayarlar!$B$25=Ayarlar!$E$22,ISNUMBER(W49)),IF(V49="",Ayarlar!$B$8,V49),0)+IF(AND(Ayarlar!$B$26=Ayarlar!$E$22,ISNUMBER(AA49)),IF(Z49="",Ayarlar!$B$9,Z49),0)+IF(AND(Ayarlar!$B$27=Ayarlar!$E$22,ISNUMBER(AE49)),IF(AD49="",Ayarlar!$B$10,AD49),0)+IF(AND(Ayarlar!$B$28=Ayarlar!$E$22,ISNUMBER(AI49)),IF(AH49="",Ayarlar!$B$11,AH49),0))*Ayarlar!$F$22,"")</f>
        <v/>
      </c>
      <c r="AS49" s="19">
        <f>IFERROR((IF(Ayarlar!$B$21=Ayarlar!$E$23,N(G49),0)+IF(Ayarlar!$B$22=Ayarlar!$E$23,N(K49),0)+IF(Ayarlar!$B$23=Ayarlar!$E$23,N(O49),0)+IF(Ayarlar!$B$24=Ayarlar!$E$23,N(S49),0)+IF(Ayarlar!$B$25=Ayarlar!$E$23,N(W49),0)+IF(Ayarlar!$B$26=Ayarlar!$E$23,N(AA49),0)+IF(Ayarlar!$B$27=Ayarlar!$E$23,N(AE49),0)+IF(Ayarlar!$B$28=Ayarlar!$E$23,N(AI49),0))/(IF(AND(Ayarlar!$B$21=Ayarlar!$E$23,ISNUMBER(G49)),IF(F49="",Ayarlar!$B$4,F49),0)+IF(AND(Ayarlar!$B$22=Ayarlar!$E$23,ISNUMBER(K49)),IF(J49="",Ayarlar!$B$5,J49),0)+IF(AND(Ayarlar!$B$23=Ayarlar!$E$23,ISNUMBER(O49)),IF(N49="",Ayarlar!$B$6,N49),0)+IF(AND(Ayarlar!$B$24=Ayarlar!$E$23,ISNUMBER(S49)),IF(R49="",Ayarlar!$B$7,R49),0)+IF(AND(Ayarlar!$B$25=Ayarlar!$E$23,ISNUMBER(W49)),IF(V49="",Ayarlar!$B$8,V49),0)+IF(AND(Ayarlar!$B$26=Ayarlar!$E$23,ISNUMBER(AA49)),IF(Z49="",Ayarlar!$B$9,Z49),0)+IF(AND(Ayarlar!$B$27=Ayarlar!$E$23,ISNUMBER(AE49)),IF(AD49="",Ayarlar!$B$10,AD49),0)+IF(AND(Ayarlar!$B$28=Ayarlar!$E$23,ISNUMBER(AI49)),IF(AH49="",Ayarlar!$B$11,AH49),0))*Ayarlar!$F$23,"")</f>
        <v/>
      </c>
      <c r="AT49" s="19">
        <f>IFERROR((IF(Ayarlar!$B$21=Ayarlar!$E$24,N(G49),0)+IF(Ayarlar!$B$22=Ayarlar!$E$24,N(K49),0)+IF(Ayarlar!$B$23=Ayarlar!$E$24,N(O49),0)+IF(Ayarlar!$B$24=Ayarlar!$E$24,N(S49),0)+IF(Ayarlar!$B$25=Ayarlar!$E$24,N(W49),0)+IF(Ayarlar!$B$26=Ayarlar!$E$24,N(AA49),0)+IF(Ayarlar!$B$27=Ayarlar!$E$24,N(AE49),0)+IF(Ayarlar!$B$28=Ayarlar!$E$24,N(AI49),0))/(IF(AND(Ayarlar!$B$21=Ayarlar!$E$24,ISNUMBER(G49)),IF(F49="",Ayarlar!$B$4,F49),0)+IF(AND(Ayarlar!$B$22=Ayarlar!$E$24,ISNUMBER(K49)),IF(J49="",Ayarlar!$B$5,J49),0)+IF(AND(Ayarlar!$B$23=Ayarlar!$E$24,ISNUMBER(O49)),IF(N49="",Ayarlar!$B$6,N49),0)+IF(AND(Ayarlar!$B$24=Ayarlar!$E$24,ISNUMBER(S49)),IF(R49="",Ayarlar!$B$7,R49),0)+IF(AND(Ayarlar!$B$25=Ayarlar!$E$24,ISNUMBER(W49)),IF(V49="",Ayarlar!$B$8,V49),0)+IF(AND(Ayarlar!$B$26=Ayarlar!$E$24,ISNUMBER(AA49)),IF(Z49="",Ayarlar!$B$9,Z49),0)+IF(AND(Ayarlar!$B$27=Ayarlar!$E$24,ISNUMBER(AE49)),IF(AD49="",Ayarlar!$B$10,AD49),0)+IF(AND(Ayarlar!$B$28=Ayarlar!$E$24,ISNUMBER(AI49)),IF(AH49="",Ayarlar!$B$11,AH49),0))*Ayarlar!$F$24,"")</f>
        <v/>
      </c>
      <c r="AU49" s="20">
        <f>IF(COUNT(AQ49,AR49,AS49,AT49)&lt;4,"",Ayarlar!$F$25+AQ49*Ayarlar!$G$21+AR49*Ayarlar!$G$22+AS49*Ayarlar!$G$23+AT49*Ayarlar!$G$24)</f>
        <v/>
      </c>
    </row>
    <row r="50">
      <c r="A50" s="10" t="n">
        <v>46</v>
      </c>
      <c r="B50" s="11" t="n"/>
      <c r="C50" s="4" t="n"/>
      <c r="D50" s="12" t="n"/>
      <c r="E50" s="12" t="n"/>
      <c r="F50" s="13" t="n"/>
      <c r="G50" s="14">
        <f>IF(AND(D50="",E50=""),"",D50-IF(Ayarlar!$B$16&gt;0,E50/Ayarlar!$B$16,0))</f>
        <v/>
      </c>
      <c r="H50" s="12" t="n"/>
      <c r="I50" s="12" t="n"/>
      <c r="J50" s="13" t="n"/>
      <c r="K50" s="14">
        <f>IF(AND(H50="",I50=""),"",H50-IF(Ayarlar!$B$16&gt;0,I50/Ayarlar!$B$16,0))</f>
        <v/>
      </c>
      <c r="L50" s="12" t="n"/>
      <c r="M50" s="12" t="n"/>
      <c r="N50" s="13" t="n"/>
      <c r="O50" s="14">
        <f>IF(AND(L50="",M50=""),"",L50-IF(Ayarlar!$B$16&gt;0,M50/Ayarlar!$B$16,0))</f>
        <v/>
      </c>
      <c r="P50" s="12" t="n"/>
      <c r="Q50" s="12" t="n"/>
      <c r="R50" s="13" t="n"/>
      <c r="S50" s="14">
        <f>IF(AND(P50="",Q50=""),"",P50-IF(Ayarlar!$B$16&gt;0,Q50/Ayarlar!$B$16,0))</f>
        <v/>
      </c>
      <c r="T50" s="12" t="n"/>
      <c r="U50" s="12" t="n"/>
      <c r="V50" s="13" t="n"/>
      <c r="W50" s="14">
        <f>IF(AND(T50="",U50=""),"",T50-IF(Ayarlar!$B$16&gt;0,U50/Ayarlar!$B$16,0))</f>
        <v/>
      </c>
      <c r="X50" s="12" t="n"/>
      <c r="Y50" s="12" t="n"/>
      <c r="Z50" s="13" t="n"/>
      <c r="AA50" s="14">
        <f>IF(AND(X50="",Y50=""),"",X50-IF(Ayarlar!$B$16&gt;0,Y50/Ayarlar!$B$16,0))</f>
        <v/>
      </c>
      <c r="AB50" s="12" t="n"/>
      <c r="AC50" s="12" t="n"/>
      <c r="AD50" s="13" t="n"/>
      <c r="AE50" s="14">
        <f>IF(AND(AB50="",AC50=""),"",AB50-IF(Ayarlar!$B$16&gt;0,AC50/Ayarlar!$B$16,0))</f>
        <v/>
      </c>
      <c r="AF50" s="12" t="n"/>
      <c r="AG50" s="12" t="n"/>
      <c r="AH50" s="13" t="n"/>
      <c r="AI50" s="14">
        <f>IF(AND(AF50="",AG50=""),"",AF50-IF(Ayarlar!$B$16&gt;0,AG50/Ayarlar!$B$16,0))</f>
        <v/>
      </c>
      <c r="AJ50" s="15">
        <f>IF(COUNT(D50,E50,H50,I50,L50,M50,P50,Q50,T50,U50,X50,Y50,AB50,AC50,AF50,AG50)=0,"",D50+H50+L50+P50+T50+X50+AB50+AF50)</f>
        <v/>
      </c>
      <c r="AK50" s="15">
        <f>IF(COUNT(D50,E50,H50,I50,L50,M50,P50,Q50,T50,U50,X50,Y50,AB50,AC50,AF50,AG50)=0,"",E50+I50+M50+Q50+U50+Y50+AC50+AG50)</f>
        <v/>
      </c>
      <c r="AL50" s="15">
        <f>IF(COUNT(D50,E50,H50,I50,L50,M50,P50,Q50,T50,U50,X50,Y50,AB50,AC50,AF50,AG50)=0,"",IF(ISNUMBER(G50),IF(F50="",Ayarlar!$B$4,F50),0)+IF(ISNUMBER(K50),IF(J50="",Ayarlar!$B$5,J50),0)+IF(ISNUMBER(O50),IF(N50="",Ayarlar!$B$6,N50),0)+IF(ISNUMBER(S50),IF(R50="",Ayarlar!$B$7,R50),0)+IF(ISNUMBER(W50),IF(V50="",Ayarlar!$B$8,V50),0)+IF(ISNUMBER(AA50),IF(Z50="",Ayarlar!$B$9,Z50),0)+IF(ISNUMBER(AE50),IF(AD50="",Ayarlar!$B$10,AD50),0)+IF(ISNUMBER(AI50),IF(AH50="",Ayarlar!$B$11,AH50),0))</f>
        <v/>
      </c>
      <c r="AM50" s="15">
        <f>IF(COUNT(D50,E50,H50,I50,L50,M50,P50,Q50,T50,U50,X50,Y50,AB50,AC50,AF50,AG50)=0,"",AL50-AJ50-AK50)</f>
        <v/>
      </c>
      <c r="AN50" s="16">
        <f>IF(COUNT(D50,E50,H50,I50,L50,M50,P50,Q50,T50,U50,X50,Y50,AB50,AC50,AF50,AG50)=0,"",SUM(G50,K50,O50,S50,W50,AA50,AE50,AI50))</f>
        <v/>
      </c>
      <c r="AO50" s="17">
        <f>IF(OR(COUNT(D50,E50,H50,I50,L50,M50,P50,Q50,T50,U50,X50,Y50,AB50,AC50,AF50,AG50)=0,N(AL50)=0),"",AN50/AL50)</f>
        <v/>
      </c>
      <c r="AP50" s="18">
        <f>IF(OR(AO50="",AO49=""),"",AO50-AO49)</f>
        <v/>
      </c>
      <c r="AQ50" s="19">
        <f>IFERROR((IF(Ayarlar!$B$21=Ayarlar!$E$21,N(G50),0)+IF(Ayarlar!$B$22=Ayarlar!$E$21,N(K50),0)+IF(Ayarlar!$B$23=Ayarlar!$E$21,N(O50),0)+IF(Ayarlar!$B$24=Ayarlar!$E$21,N(S50),0)+IF(Ayarlar!$B$25=Ayarlar!$E$21,N(W50),0)+IF(Ayarlar!$B$26=Ayarlar!$E$21,N(AA50),0)+IF(Ayarlar!$B$27=Ayarlar!$E$21,N(AE50),0)+IF(Ayarlar!$B$28=Ayarlar!$E$21,N(AI50),0))/(IF(AND(Ayarlar!$B$21=Ayarlar!$E$21,ISNUMBER(G50)),IF(F50="",Ayarlar!$B$4,F50),0)+IF(AND(Ayarlar!$B$22=Ayarlar!$E$21,ISNUMBER(K50)),IF(J50="",Ayarlar!$B$5,J50),0)+IF(AND(Ayarlar!$B$23=Ayarlar!$E$21,ISNUMBER(O50)),IF(N50="",Ayarlar!$B$6,N50),0)+IF(AND(Ayarlar!$B$24=Ayarlar!$E$21,ISNUMBER(S50)),IF(R50="",Ayarlar!$B$7,R50),0)+IF(AND(Ayarlar!$B$25=Ayarlar!$E$21,ISNUMBER(W50)),IF(V50="",Ayarlar!$B$8,V50),0)+IF(AND(Ayarlar!$B$26=Ayarlar!$E$21,ISNUMBER(AA50)),IF(Z50="",Ayarlar!$B$9,Z50),0)+IF(AND(Ayarlar!$B$27=Ayarlar!$E$21,ISNUMBER(AE50)),IF(AD50="",Ayarlar!$B$10,AD50),0)+IF(AND(Ayarlar!$B$28=Ayarlar!$E$21,ISNUMBER(AI50)),IF(AH50="",Ayarlar!$B$11,AH50),0))*Ayarlar!$F$21,"")</f>
        <v/>
      </c>
      <c r="AR50" s="19">
        <f>IFERROR((IF(Ayarlar!$B$21=Ayarlar!$E$22,N(G50),0)+IF(Ayarlar!$B$22=Ayarlar!$E$22,N(K50),0)+IF(Ayarlar!$B$23=Ayarlar!$E$22,N(O50),0)+IF(Ayarlar!$B$24=Ayarlar!$E$22,N(S50),0)+IF(Ayarlar!$B$25=Ayarlar!$E$22,N(W50),0)+IF(Ayarlar!$B$26=Ayarlar!$E$22,N(AA50),0)+IF(Ayarlar!$B$27=Ayarlar!$E$22,N(AE50),0)+IF(Ayarlar!$B$28=Ayarlar!$E$22,N(AI50),0))/(IF(AND(Ayarlar!$B$21=Ayarlar!$E$22,ISNUMBER(G50)),IF(F50="",Ayarlar!$B$4,F50),0)+IF(AND(Ayarlar!$B$22=Ayarlar!$E$22,ISNUMBER(K50)),IF(J50="",Ayarlar!$B$5,J50),0)+IF(AND(Ayarlar!$B$23=Ayarlar!$E$22,ISNUMBER(O50)),IF(N50="",Ayarlar!$B$6,N50),0)+IF(AND(Ayarlar!$B$24=Ayarlar!$E$22,ISNUMBER(S50)),IF(R50="",Ayarlar!$B$7,R50),0)+IF(AND(Ayarlar!$B$25=Ayarlar!$E$22,ISNUMBER(W50)),IF(V50="",Ayarlar!$B$8,V50),0)+IF(AND(Ayarlar!$B$26=Ayarlar!$E$22,ISNUMBER(AA50)),IF(Z50="",Ayarlar!$B$9,Z50),0)+IF(AND(Ayarlar!$B$27=Ayarlar!$E$22,ISNUMBER(AE50)),IF(AD50="",Ayarlar!$B$10,AD50),0)+IF(AND(Ayarlar!$B$28=Ayarlar!$E$22,ISNUMBER(AI50)),IF(AH50="",Ayarlar!$B$11,AH50),0))*Ayarlar!$F$22,"")</f>
        <v/>
      </c>
      <c r="AS50" s="19">
        <f>IFERROR((IF(Ayarlar!$B$21=Ayarlar!$E$23,N(G50),0)+IF(Ayarlar!$B$22=Ayarlar!$E$23,N(K50),0)+IF(Ayarlar!$B$23=Ayarlar!$E$23,N(O50),0)+IF(Ayarlar!$B$24=Ayarlar!$E$23,N(S50),0)+IF(Ayarlar!$B$25=Ayarlar!$E$23,N(W50),0)+IF(Ayarlar!$B$26=Ayarlar!$E$23,N(AA50),0)+IF(Ayarlar!$B$27=Ayarlar!$E$23,N(AE50),0)+IF(Ayarlar!$B$28=Ayarlar!$E$23,N(AI50),0))/(IF(AND(Ayarlar!$B$21=Ayarlar!$E$23,ISNUMBER(G50)),IF(F50="",Ayarlar!$B$4,F50),0)+IF(AND(Ayarlar!$B$22=Ayarlar!$E$23,ISNUMBER(K50)),IF(J50="",Ayarlar!$B$5,J50),0)+IF(AND(Ayarlar!$B$23=Ayarlar!$E$23,ISNUMBER(O50)),IF(N50="",Ayarlar!$B$6,N50),0)+IF(AND(Ayarlar!$B$24=Ayarlar!$E$23,ISNUMBER(S50)),IF(R50="",Ayarlar!$B$7,R50),0)+IF(AND(Ayarlar!$B$25=Ayarlar!$E$23,ISNUMBER(W50)),IF(V50="",Ayarlar!$B$8,V50),0)+IF(AND(Ayarlar!$B$26=Ayarlar!$E$23,ISNUMBER(AA50)),IF(Z50="",Ayarlar!$B$9,Z50),0)+IF(AND(Ayarlar!$B$27=Ayarlar!$E$23,ISNUMBER(AE50)),IF(AD50="",Ayarlar!$B$10,AD50),0)+IF(AND(Ayarlar!$B$28=Ayarlar!$E$23,ISNUMBER(AI50)),IF(AH50="",Ayarlar!$B$11,AH50),0))*Ayarlar!$F$23,"")</f>
        <v/>
      </c>
      <c r="AT50" s="19">
        <f>IFERROR((IF(Ayarlar!$B$21=Ayarlar!$E$24,N(G50),0)+IF(Ayarlar!$B$22=Ayarlar!$E$24,N(K50),0)+IF(Ayarlar!$B$23=Ayarlar!$E$24,N(O50),0)+IF(Ayarlar!$B$24=Ayarlar!$E$24,N(S50),0)+IF(Ayarlar!$B$25=Ayarlar!$E$24,N(W50),0)+IF(Ayarlar!$B$26=Ayarlar!$E$24,N(AA50),0)+IF(Ayarlar!$B$27=Ayarlar!$E$24,N(AE50),0)+IF(Ayarlar!$B$28=Ayarlar!$E$24,N(AI50),0))/(IF(AND(Ayarlar!$B$21=Ayarlar!$E$24,ISNUMBER(G50)),IF(F50="",Ayarlar!$B$4,F50),0)+IF(AND(Ayarlar!$B$22=Ayarlar!$E$24,ISNUMBER(K50)),IF(J50="",Ayarlar!$B$5,J50),0)+IF(AND(Ayarlar!$B$23=Ayarlar!$E$24,ISNUMBER(O50)),IF(N50="",Ayarlar!$B$6,N50),0)+IF(AND(Ayarlar!$B$24=Ayarlar!$E$24,ISNUMBER(S50)),IF(R50="",Ayarlar!$B$7,R50),0)+IF(AND(Ayarlar!$B$25=Ayarlar!$E$24,ISNUMBER(W50)),IF(V50="",Ayarlar!$B$8,V50),0)+IF(AND(Ayarlar!$B$26=Ayarlar!$E$24,ISNUMBER(AA50)),IF(Z50="",Ayarlar!$B$9,Z50),0)+IF(AND(Ayarlar!$B$27=Ayarlar!$E$24,ISNUMBER(AE50)),IF(AD50="",Ayarlar!$B$10,AD50),0)+IF(AND(Ayarlar!$B$28=Ayarlar!$E$24,ISNUMBER(AI50)),IF(AH50="",Ayarlar!$B$11,AH50),0))*Ayarlar!$F$24,"")</f>
        <v/>
      </c>
      <c r="AU50" s="20">
        <f>IF(COUNT(AQ50,AR50,AS50,AT50)&lt;4,"",Ayarlar!$F$25+AQ50*Ayarlar!$G$21+AR50*Ayarlar!$G$22+AS50*Ayarlar!$G$23+AT50*Ayarlar!$G$24)</f>
        <v/>
      </c>
    </row>
    <row r="51">
      <c r="A51" s="10" t="n">
        <v>47</v>
      </c>
      <c r="B51" s="11" t="n"/>
      <c r="C51" s="4" t="n"/>
      <c r="D51" s="12" t="n"/>
      <c r="E51" s="12" t="n"/>
      <c r="F51" s="13" t="n"/>
      <c r="G51" s="14">
        <f>IF(AND(D51="",E51=""),"",D51-IF(Ayarlar!$B$16&gt;0,E51/Ayarlar!$B$16,0))</f>
        <v/>
      </c>
      <c r="H51" s="12" t="n"/>
      <c r="I51" s="12" t="n"/>
      <c r="J51" s="13" t="n"/>
      <c r="K51" s="14">
        <f>IF(AND(H51="",I51=""),"",H51-IF(Ayarlar!$B$16&gt;0,I51/Ayarlar!$B$16,0))</f>
        <v/>
      </c>
      <c r="L51" s="12" t="n"/>
      <c r="M51" s="12" t="n"/>
      <c r="N51" s="13" t="n"/>
      <c r="O51" s="14">
        <f>IF(AND(L51="",M51=""),"",L51-IF(Ayarlar!$B$16&gt;0,M51/Ayarlar!$B$16,0))</f>
        <v/>
      </c>
      <c r="P51" s="12" t="n"/>
      <c r="Q51" s="12" t="n"/>
      <c r="R51" s="13" t="n"/>
      <c r="S51" s="14">
        <f>IF(AND(P51="",Q51=""),"",P51-IF(Ayarlar!$B$16&gt;0,Q51/Ayarlar!$B$16,0))</f>
        <v/>
      </c>
      <c r="T51" s="12" t="n"/>
      <c r="U51" s="12" t="n"/>
      <c r="V51" s="13" t="n"/>
      <c r="W51" s="14">
        <f>IF(AND(T51="",U51=""),"",T51-IF(Ayarlar!$B$16&gt;0,U51/Ayarlar!$B$16,0))</f>
        <v/>
      </c>
      <c r="X51" s="12" t="n"/>
      <c r="Y51" s="12" t="n"/>
      <c r="Z51" s="13" t="n"/>
      <c r="AA51" s="14">
        <f>IF(AND(X51="",Y51=""),"",X51-IF(Ayarlar!$B$16&gt;0,Y51/Ayarlar!$B$16,0))</f>
        <v/>
      </c>
      <c r="AB51" s="12" t="n"/>
      <c r="AC51" s="12" t="n"/>
      <c r="AD51" s="13" t="n"/>
      <c r="AE51" s="14">
        <f>IF(AND(AB51="",AC51=""),"",AB51-IF(Ayarlar!$B$16&gt;0,AC51/Ayarlar!$B$16,0))</f>
        <v/>
      </c>
      <c r="AF51" s="12" t="n"/>
      <c r="AG51" s="12" t="n"/>
      <c r="AH51" s="13" t="n"/>
      <c r="AI51" s="14">
        <f>IF(AND(AF51="",AG51=""),"",AF51-IF(Ayarlar!$B$16&gt;0,AG51/Ayarlar!$B$16,0))</f>
        <v/>
      </c>
      <c r="AJ51" s="15">
        <f>IF(COUNT(D51,E51,H51,I51,L51,M51,P51,Q51,T51,U51,X51,Y51,AB51,AC51,AF51,AG51)=0,"",D51+H51+L51+P51+T51+X51+AB51+AF51)</f>
        <v/>
      </c>
      <c r="AK51" s="15">
        <f>IF(COUNT(D51,E51,H51,I51,L51,M51,P51,Q51,T51,U51,X51,Y51,AB51,AC51,AF51,AG51)=0,"",E51+I51+M51+Q51+U51+Y51+AC51+AG51)</f>
        <v/>
      </c>
      <c r="AL51" s="15">
        <f>IF(COUNT(D51,E51,H51,I51,L51,M51,P51,Q51,T51,U51,X51,Y51,AB51,AC51,AF51,AG51)=0,"",IF(ISNUMBER(G51),IF(F51="",Ayarlar!$B$4,F51),0)+IF(ISNUMBER(K51),IF(J51="",Ayarlar!$B$5,J51),0)+IF(ISNUMBER(O51),IF(N51="",Ayarlar!$B$6,N51),0)+IF(ISNUMBER(S51),IF(R51="",Ayarlar!$B$7,R51),0)+IF(ISNUMBER(W51),IF(V51="",Ayarlar!$B$8,V51),0)+IF(ISNUMBER(AA51),IF(Z51="",Ayarlar!$B$9,Z51),0)+IF(ISNUMBER(AE51),IF(AD51="",Ayarlar!$B$10,AD51),0)+IF(ISNUMBER(AI51),IF(AH51="",Ayarlar!$B$11,AH51),0))</f>
        <v/>
      </c>
      <c r="AM51" s="15">
        <f>IF(COUNT(D51,E51,H51,I51,L51,M51,P51,Q51,T51,U51,X51,Y51,AB51,AC51,AF51,AG51)=0,"",AL51-AJ51-AK51)</f>
        <v/>
      </c>
      <c r="AN51" s="16">
        <f>IF(COUNT(D51,E51,H51,I51,L51,M51,P51,Q51,T51,U51,X51,Y51,AB51,AC51,AF51,AG51)=0,"",SUM(G51,K51,O51,S51,W51,AA51,AE51,AI51))</f>
        <v/>
      </c>
      <c r="AO51" s="17">
        <f>IF(OR(COUNT(D51,E51,H51,I51,L51,M51,P51,Q51,T51,U51,X51,Y51,AB51,AC51,AF51,AG51)=0,N(AL51)=0),"",AN51/AL51)</f>
        <v/>
      </c>
      <c r="AP51" s="18">
        <f>IF(OR(AO51="",AO50=""),"",AO51-AO50)</f>
        <v/>
      </c>
      <c r="AQ51" s="19">
        <f>IFERROR((IF(Ayarlar!$B$21=Ayarlar!$E$21,N(G51),0)+IF(Ayarlar!$B$22=Ayarlar!$E$21,N(K51),0)+IF(Ayarlar!$B$23=Ayarlar!$E$21,N(O51),0)+IF(Ayarlar!$B$24=Ayarlar!$E$21,N(S51),0)+IF(Ayarlar!$B$25=Ayarlar!$E$21,N(W51),0)+IF(Ayarlar!$B$26=Ayarlar!$E$21,N(AA51),0)+IF(Ayarlar!$B$27=Ayarlar!$E$21,N(AE51),0)+IF(Ayarlar!$B$28=Ayarlar!$E$21,N(AI51),0))/(IF(AND(Ayarlar!$B$21=Ayarlar!$E$21,ISNUMBER(G51)),IF(F51="",Ayarlar!$B$4,F51),0)+IF(AND(Ayarlar!$B$22=Ayarlar!$E$21,ISNUMBER(K51)),IF(J51="",Ayarlar!$B$5,J51),0)+IF(AND(Ayarlar!$B$23=Ayarlar!$E$21,ISNUMBER(O51)),IF(N51="",Ayarlar!$B$6,N51),0)+IF(AND(Ayarlar!$B$24=Ayarlar!$E$21,ISNUMBER(S51)),IF(R51="",Ayarlar!$B$7,R51),0)+IF(AND(Ayarlar!$B$25=Ayarlar!$E$21,ISNUMBER(W51)),IF(V51="",Ayarlar!$B$8,V51),0)+IF(AND(Ayarlar!$B$26=Ayarlar!$E$21,ISNUMBER(AA51)),IF(Z51="",Ayarlar!$B$9,Z51),0)+IF(AND(Ayarlar!$B$27=Ayarlar!$E$21,ISNUMBER(AE51)),IF(AD51="",Ayarlar!$B$10,AD51),0)+IF(AND(Ayarlar!$B$28=Ayarlar!$E$21,ISNUMBER(AI51)),IF(AH51="",Ayarlar!$B$11,AH51),0))*Ayarlar!$F$21,"")</f>
        <v/>
      </c>
      <c r="AR51" s="19">
        <f>IFERROR((IF(Ayarlar!$B$21=Ayarlar!$E$22,N(G51),0)+IF(Ayarlar!$B$22=Ayarlar!$E$22,N(K51),0)+IF(Ayarlar!$B$23=Ayarlar!$E$22,N(O51),0)+IF(Ayarlar!$B$24=Ayarlar!$E$22,N(S51),0)+IF(Ayarlar!$B$25=Ayarlar!$E$22,N(W51),0)+IF(Ayarlar!$B$26=Ayarlar!$E$22,N(AA51),0)+IF(Ayarlar!$B$27=Ayarlar!$E$22,N(AE51),0)+IF(Ayarlar!$B$28=Ayarlar!$E$22,N(AI51),0))/(IF(AND(Ayarlar!$B$21=Ayarlar!$E$22,ISNUMBER(G51)),IF(F51="",Ayarlar!$B$4,F51),0)+IF(AND(Ayarlar!$B$22=Ayarlar!$E$22,ISNUMBER(K51)),IF(J51="",Ayarlar!$B$5,J51),0)+IF(AND(Ayarlar!$B$23=Ayarlar!$E$22,ISNUMBER(O51)),IF(N51="",Ayarlar!$B$6,N51),0)+IF(AND(Ayarlar!$B$24=Ayarlar!$E$22,ISNUMBER(S51)),IF(R51="",Ayarlar!$B$7,R51),0)+IF(AND(Ayarlar!$B$25=Ayarlar!$E$22,ISNUMBER(W51)),IF(V51="",Ayarlar!$B$8,V51),0)+IF(AND(Ayarlar!$B$26=Ayarlar!$E$22,ISNUMBER(AA51)),IF(Z51="",Ayarlar!$B$9,Z51),0)+IF(AND(Ayarlar!$B$27=Ayarlar!$E$22,ISNUMBER(AE51)),IF(AD51="",Ayarlar!$B$10,AD51),0)+IF(AND(Ayarlar!$B$28=Ayarlar!$E$22,ISNUMBER(AI51)),IF(AH51="",Ayarlar!$B$11,AH51),0))*Ayarlar!$F$22,"")</f>
        <v/>
      </c>
      <c r="AS51" s="19">
        <f>IFERROR((IF(Ayarlar!$B$21=Ayarlar!$E$23,N(G51),0)+IF(Ayarlar!$B$22=Ayarlar!$E$23,N(K51),0)+IF(Ayarlar!$B$23=Ayarlar!$E$23,N(O51),0)+IF(Ayarlar!$B$24=Ayarlar!$E$23,N(S51),0)+IF(Ayarlar!$B$25=Ayarlar!$E$23,N(W51),0)+IF(Ayarlar!$B$26=Ayarlar!$E$23,N(AA51),0)+IF(Ayarlar!$B$27=Ayarlar!$E$23,N(AE51),0)+IF(Ayarlar!$B$28=Ayarlar!$E$23,N(AI51),0))/(IF(AND(Ayarlar!$B$21=Ayarlar!$E$23,ISNUMBER(G51)),IF(F51="",Ayarlar!$B$4,F51),0)+IF(AND(Ayarlar!$B$22=Ayarlar!$E$23,ISNUMBER(K51)),IF(J51="",Ayarlar!$B$5,J51),0)+IF(AND(Ayarlar!$B$23=Ayarlar!$E$23,ISNUMBER(O51)),IF(N51="",Ayarlar!$B$6,N51),0)+IF(AND(Ayarlar!$B$24=Ayarlar!$E$23,ISNUMBER(S51)),IF(R51="",Ayarlar!$B$7,R51),0)+IF(AND(Ayarlar!$B$25=Ayarlar!$E$23,ISNUMBER(W51)),IF(V51="",Ayarlar!$B$8,V51),0)+IF(AND(Ayarlar!$B$26=Ayarlar!$E$23,ISNUMBER(AA51)),IF(Z51="",Ayarlar!$B$9,Z51),0)+IF(AND(Ayarlar!$B$27=Ayarlar!$E$23,ISNUMBER(AE51)),IF(AD51="",Ayarlar!$B$10,AD51),0)+IF(AND(Ayarlar!$B$28=Ayarlar!$E$23,ISNUMBER(AI51)),IF(AH51="",Ayarlar!$B$11,AH51),0))*Ayarlar!$F$23,"")</f>
        <v/>
      </c>
      <c r="AT51" s="19">
        <f>IFERROR((IF(Ayarlar!$B$21=Ayarlar!$E$24,N(G51),0)+IF(Ayarlar!$B$22=Ayarlar!$E$24,N(K51),0)+IF(Ayarlar!$B$23=Ayarlar!$E$24,N(O51),0)+IF(Ayarlar!$B$24=Ayarlar!$E$24,N(S51),0)+IF(Ayarlar!$B$25=Ayarlar!$E$24,N(W51),0)+IF(Ayarlar!$B$26=Ayarlar!$E$24,N(AA51),0)+IF(Ayarlar!$B$27=Ayarlar!$E$24,N(AE51),0)+IF(Ayarlar!$B$28=Ayarlar!$E$24,N(AI51),0))/(IF(AND(Ayarlar!$B$21=Ayarlar!$E$24,ISNUMBER(G51)),IF(F51="",Ayarlar!$B$4,F51),0)+IF(AND(Ayarlar!$B$22=Ayarlar!$E$24,ISNUMBER(K51)),IF(J51="",Ayarlar!$B$5,J51),0)+IF(AND(Ayarlar!$B$23=Ayarlar!$E$24,ISNUMBER(O51)),IF(N51="",Ayarlar!$B$6,N51),0)+IF(AND(Ayarlar!$B$24=Ayarlar!$E$24,ISNUMBER(S51)),IF(R51="",Ayarlar!$B$7,R51),0)+IF(AND(Ayarlar!$B$25=Ayarlar!$E$24,ISNUMBER(W51)),IF(V51="",Ayarlar!$B$8,V51),0)+IF(AND(Ayarlar!$B$26=Ayarlar!$E$24,ISNUMBER(AA51)),IF(Z51="",Ayarlar!$B$9,Z51),0)+IF(AND(Ayarlar!$B$27=Ayarlar!$E$24,ISNUMBER(AE51)),IF(AD51="",Ayarlar!$B$10,AD51),0)+IF(AND(Ayarlar!$B$28=Ayarlar!$E$24,ISNUMBER(AI51)),IF(AH51="",Ayarlar!$B$11,AH51),0))*Ayarlar!$F$24,"")</f>
        <v/>
      </c>
      <c r="AU51" s="20">
        <f>IF(COUNT(AQ51,AR51,AS51,AT51)&lt;4,"",Ayarlar!$F$25+AQ51*Ayarlar!$G$21+AR51*Ayarlar!$G$22+AS51*Ayarlar!$G$23+AT51*Ayarlar!$G$24)</f>
        <v/>
      </c>
    </row>
    <row r="52">
      <c r="A52" s="10" t="n">
        <v>48</v>
      </c>
      <c r="B52" s="11" t="n"/>
      <c r="C52" s="4" t="n"/>
      <c r="D52" s="12" t="n"/>
      <c r="E52" s="12" t="n"/>
      <c r="F52" s="13" t="n"/>
      <c r="G52" s="14">
        <f>IF(AND(D52="",E52=""),"",D52-IF(Ayarlar!$B$16&gt;0,E52/Ayarlar!$B$16,0))</f>
        <v/>
      </c>
      <c r="H52" s="12" t="n"/>
      <c r="I52" s="12" t="n"/>
      <c r="J52" s="13" t="n"/>
      <c r="K52" s="14">
        <f>IF(AND(H52="",I52=""),"",H52-IF(Ayarlar!$B$16&gt;0,I52/Ayarlar!$B$16,0))</f>
        <v/>
      </c>
      <c r="L52" s="12" t="n"/>
      <c r="M52" s="12" t="n"/>
      <c r="N52" s="13" t="n"/>
      <c r="O52" s="14">
        <f>IF(AND(L52="",M52=""),"",L52-IF(Ayarlar!$B$16&gt;0,M52/Ayarlar!$B$16,0))</f>
        <v/>
      </c>
      <c r="P52" s="12" t="n"/>
      <c r="Q52" s="12" t="n"/>
      <c r="R52" s="13" t="n"/>
      <c r="S52" s="14">
        <f>IF(AND(P52="",Q52=""),"",P52-IF(Ayarlar!$B$16&gt;0,Q52/Ayarlar!$B$16,0))</f>
        <v/>
      </c>
      <c r="T52" s="12" t="n"/>
      <c r="U52" s="12" t="n"/>
      <c r="V52" s="13" t="n"/>
      <c r="W52" s="14">
        <f>IF(AND(T52="",U52=""),"",T52-IF(Ayarlar!$B$16&gt;0,U52/Ayarlar!$B$16,0))</f>
        <v/>
      </c>
      <c r="X52" s="12" t="n"/>
      <c r="Y52" s="12" t="n"/>
      <c r="Z52" s="13" t="n"/>
      <c r="AA52" s="14">
        <f>IF(AND(X52="",Y52=""),"",X52-IF(Ayarlar!$B$16&gt;0,Y52/Ayarlar!$B$16,0))</f>
        <v/>
      </c>
      <c r="AB52" s="12" t="n"/>
      <c r="AC52" s="12" t="n"/>
      <c r="AD52" s="13" t="n"/>
      <c r="AE52" s="14">
        <f>IF(AND(AB52="",AC52=""),"",AB52-IF(Ayarlar!$B$16&gt;0,AC52/Ayarlar!$B$16,0))</f>
        <v/>
      </c>
      <c r="AF52" s="12" t="n"/>
      <c r="AG52" s="12" t="n"/>
      <c r="AH52" s="13" t="n"/>
      <c r="AI52" s="14">
        <f>IF(AND(AF52="",AG52=""),"",AF52-IF(Ayarlar!$B$16&gt;0,AG52/Ayarlar!$B$16,0))</f>
        <v/>
      </c>
      <c r="AJ52" s="15">
        <f>IF(COUNT(D52,E52,H52,I52,L52,M52,P52,Q52,T52,U52,X52,Y52,AB52,AC52,AF52,AG52)=0,"",D52+H52+L52+P52+T52+X52+AB52+AF52)</f>
        <v/>
      </c>
      <c r="AK52" s="15">
        <f>IF(COUNT(D52,E52,H52,I52,L52,M52,P52,Q52,T52,U52,X52,Y52,AB52,AC52,AF52,AG52)=0,"",E52+I52+M52+Q52+U52+Y52+AC52+AG52)</f>
        <v/>
      </c>
      <c r="AL52" s="15">
        <f>IF(COUNT(D52,E52,H52,I52,L52,M52,P52,Q52,T52,U52,X52,Y52,AB52,AC52,AF52,AG52)=0,"",IF(ISNUMBER(G52),IF(F52="",Ayarlar!$B$4,F52),0)+IF(ISNUMBER(K52),IF(J52="",Ayarlar!$B$5,J52),0)+IF(ISNUMBER(O52),IF(N52="",Ayarlar!$B$6,N52),0)+IF(ISNUMBER(S52),IF(R52="",Ayarlar!$B$7,R52),0)+IF(ISNUMBER(W52),IF(V52="",Ayarlar!$B$8,V52),0)+IF(ISNUMBER(AA52),IF(Z52="",Ayarlar!$B$9,Z52),0)+IF(ISNUMBER(AE52),IF(AD52="",Ayarlar!$B$10,AD52),0)+IF(ISNUMBER(AI52),IF(AH52="",Ayarlar!$B$11,AH52),0))</f>
        <v/>
      </c>
      <c r="AM52" s="15">
        <f>IF(COUNT(D52,E52,H52,I52,L52,M52,P52,Q52,T52,U52,X52,Y52,AB52,AC52,AF52,AG52)=0,"",AL52-AJ52-AK52)</f>
        <v/>
      </c>
      <c r="AN52" s="16">
        <f>IF(COUNT(D52,E52,H52,I52,L52,M52,P52,Q52,T52,U52,X52,Y52,AB52,AC52,AF52,AG52)=0,"",SUM(G52,K52,O52,S52,W52,AA52,AE52,AI52))</f>
        <v/>
      </c>
      <c r="AO52" s="17">
        <f>IF(OR(COUNT(D52,E52,H52,I52,L52,M52,P52,Q52,T52,U52,X52,Y52,AB52,AC52,AF52,AG52)=0,N(AL52)=0),"",AN52/AL52)</f>
        <v/>
      </c>
      <c r="AP52" s="18">
        <f>IF(OR(AO52="",AO51=""),"",AO52-AO51)</f>
        <v/>
      </c>
      <c r="AQ52" s="19">
        <f>IFERROR((IF(Ayarlar!$B$21=Ayarlar!$E$21,N(G52),0)+IF(Ayarlar!$B$22=Ayarlar!$E$21,N(K52),0)+IF(Ayarlar!$B$23=Ayarlar!$E$21,N(O52),0)+IF(Ayarlar!$B$24=Ayarlar!$E$21,N(S52),0)+IF(Ayarlar!$B$25=Ayarlar!$E$21,N(W52),0)+IF(Ayarlar!$B$26=Ayarlar!$E$21,N(AA52),0)+IF(Ayarlar!$B$27=Ayarlar!$E$21,N(AE52),0)+IF(Ayarlar!$B$28=Ayarlar!$E$21,N(AI52),0))/(IF(AND(Ayarlar!$B$21=Ayarlar!$E$21,ISNUMBER(G52)),IF(F52="",Ayarlar!$B$4,F52),0)+IF(AND(Ayarlar!$B$22=Ayarlar!$E$21,ISNUMBER(K52)),IF(J52="",Ayarlar!$B$5,J52),0)+IF(AND(Ayarlar!$B$23=Ayarlar!$E$21,ISNUMBER(O52)),IF(N52="",Ayarlar!$B$6,N52),0)+IF(AND(Ayarlar!$B$24=Ayarlar!$E$21,ISNUMBER(S52)),IF(R52="",Ayarlar!$B$7,R52),0)+IF(AND(Ayarlar!$B$25=Ayarlar!$E$21,ISNUMBER(W52)),IF(V52="",Ayarlar!$B$8,V52),0)+IF(AND(Ayarlar!$B$26=Ayarlar!$E$21,ISNUMBER(AA52)),IF(Z52="",Ayarlar!$B$9,Z52),0)+IF(AND(Ayarlar!$B$27=Ayarlar!$E$21,ISNUMBER(AE52)),IF(AD52="",Ayarlar!$B$10,AD52),0)+IF(AND(Ayarlar!$B$28=Ayarlar!$E$21,ISNUMBER(AI52)),IF(AH52="",Ayarlar!$B$11,AH52),0))*Ayarlar!$F$21,"")</f>
        <v/>
      </c>
      <c r="AR52" s="19">
        <f>IFERROR((IF(Ayarlar!$B$21=Ayarlar!$E$22,N(G52),0)+IF(Ayarlar!$B$22=Ayarlar!$E$22,N(K52),0)+IF(Ayarlar!$B$23=Ayarlar!$E$22,N(O52),0)+IF(Ayarlar!$B$24=Ayarlar!$E$22,N(S52),0)+IF(Ayarlar!$B$25=Ayarlar!$E$22,N(W52),0)+IF(Ayarlar!$B$26=Ayarlar!$E$22,N(AA52),0)+IF(Ayarlar!$B$27=Ayarlar!$E$22,N(AE52),0)+IF(Ayarlar!$B$28=Ayarlar!$E$22,N(AI52),0))/(IF(AND(Ayarlar!$B$21=Ayarlar!$E$22,ISNUMBER(G52)),IF(F52="",Ayarlar!$B$4,F52),0)+IF(AND(Ayarlar!$B$22=Ayarlar!$E$22,ISNUMBER(K52)),IF(J52="",Ayarlar!$B$5,J52),0)+IF(AND(Ayarlar!$B$23=Ayarlar!$E$22,ISNUMBER(O52)),IF(N52="",Ayarlar!$B$6,N52),0)+IF(AND(Ayarlar!$B$24=Ayarlar!$E$22,ISNUMBER(S52)),IF(R52="",Ayarlar!$B$7,R52),0)+IF(AND(Ayarlar!$B$25=Ayarlar!$E$22,ISNUMBER(W52)),IF(V52="",Ayarlar!$B$8,V52),0)+IF(AND(Ayarlar!$B$26=Ayarlar!$E$22,ISNUMBER(AA52)),IF(Z52="",Ayarlar!$B$9,Z52),0)+IF(AND(Ayarlar!$B$27=Ayarlar!$E$22,ISNUMBER(AE52)),IF(AD52="",Ayarlar!$B$10,AD52),0)+IF(AND(Ayarlar!$B$28=Ayarlar!$E$22,ISNUMBER(AI52)),IF(AH52="",Ayarlar!$B$11,AH52),0))*Ayarlar!$F$22,"")</f>
        <v/>
      </c>
      <c r="AS52" s="19">
        <f>IFERROR((IF(Ayarlar!$B$21=Ayarlar!$E$23,N(G52),0)+IF(Ayarlar!$B$22=Ayarlar!$E$23,N(K52),0)+IF(Ayarlar!$B$23=Ayarlar!$E$23,N(O52),0)+IF(Ayarlar!$B$24=Ayarlar!$E$23,N(S52),0)+IF(Ayarlar!$B$25=Ayarlar!$E$23,N(W52),0)+IF(Ayarlar!$B$26=Ayarlar!$E$23,N(AA52),0)+IF(Ayarlar!$B$27=Ayarlar!$E$23,N(AE52),0)+IF(Ayarlar!$B$28=Ayarlar!$E$23,N(AI52),0))/(IF(AND(Ayarlar!$B$21=Ayarlar!$E$23,ISNUMBER(G52)),IF(F52="",Ayarlar!$B$4,F52),0)+IF(AND(Ayarlar!$B$22=Ayarlar!$E$23,ISNUMBER(K52)),IF(J52="",Ayarlar!$B$5,J52),0)+IF(AND(Ayarlar!$B$23=Ayarlar!$E$23,ISNUMBER(O52)),IF(N52="",Ayarlar!$B$6,N52),0)+IF(AND(Ayarlar!$B$24=Ayarlar!$E$23,ISNUMBER(S52)),IF(R52="",Ayarlar!$B$7,R52),0)+IF(AND(Ayarlar!$B$25=Ayarlar!$E$23,ISNUMBER(W52)),IF(V52="",Ayarlar!$B$8,V52),0)+IF(AND(Ayarlar!$B$26=Ayarlar!$E$23,ISNUMBER(AA52)),IF(Z52="",Ayarlar!$B$9,Z52),0)+IF(AND(Ayarlar!$B$27=Ayarlar!$E$23,ISNUMBER(AE52)),IF(AD52="",Ayarlar!$B$10,AD52),0)+IF(AND(Ayarlar!$B$28=Ayarlar!$E$23,ISNUMBER(AI52)),IF(AH52="",Ayarlar!$B$11,AH52),0))*Ayarlar!$F$23,"")</f>
        <v/>
      </c>
      <c r="AT52" s="19">
        <f>IFERROR((IF(Ayarlar!$B$21=Ayarlar!$E$24,N(G52),0)+IF(Ayarlar!$B$22=Ayarlar!$E$24,N(K52),0)+IF(Ayarlar!$B$23=Ayarlar!$E$24,N(O52),0)+IF(Ayarlar!$B$24=Ayarlar!$E$24,N(S52),0)+IF(Ayarlar!$B$25=Ayarlar!$E$24,N(W52),0)+IF(Ayarlar!$B$26=Ayarlar!$E$24,N(AA52),0)+IF(Ayarlar!$B$27=Ayarlar!$E$24,N(AE52),0)+IF(Ayarlar!$B$28=Ayarlar!$E$24,N(AI52),0))/(IF(AND(Ayarlar!$B$21=Ayarlar!$E$24,ISNUMBER(G52)),IF(F52="",Ayarlar!$B$4,F52),0)+IF(AND(Ayarlar!$B$22=Ayarlar!$E$24,ISNUMBER(K52)),IF(J52="",Ayarlar!$B$5,J52),0)+IF(AND(Ayarlar!$B$23=Ayarlar!$E$24,ISNUMBER(O52)),IF(N52="",Ayarlar!$B$6,N52),0)+IF(AND(Ayarlar!$B$24=Ayarlar!$E$24,ISNUMBER(S52)),IF(R52="",Ayarlar!$B$7,R52),0)+IF(AND(Ayarlar!$B$25=Ayarlar!$E$24,ISNUMBER(W52)),IF(V52="",Ayarlar!$B$8,V52),0)+IF(AND(Ayarlar!$B$26=Ayarlar!$E$24,ISNUMBER(AA52)),IF(Z52="",Ayarlar!$B$9,Z52),0)+IF(AND(Ayarlar!$B$27=Ayarlar!$E$24,ISNUMBER(AE52)),IF(AD52="",Ayarlar!$B$10,AD52),0)+IF(AND(Ayarlar!$B$28=Ayarlar!$E$24,ISNUMBER(AI52)),IF(AH52="",Ayarlar!$B$11,AH52),0))*Ayarlar!$F$24,"")</f>
        <v/>
      </c>
      <c r="AU52" s="20">
        <f>IF(COUNT(AQ52,AR52,AS52,AT52)&lt;4,"",Ayarlar!$F$25+AQ52*Ayarlar!$G$21+AR52*Ayarlar!$G$22+AS52*Ayarlar!$G$23+AT52*Ayarlar!$G$24)</f>
        <v/>
      </c>
    </row>
    <row r="53">
      <c r="A53" s="10" t="n">
        <v>49</v>
      </c>
      <c r="B53" s="11" t="n"/>
      <c r="C53" s="4" t="n"/>
      <c r="D53" s="12" t="n"/>
      <c r="E53" s="12" t="n"/>
      <c r="F53" s="13" t="n"/>
      <c r="G53" s="14">
        <f>IF(AND(D53="",E53=""),"",D53-IF(Ayarlar!$B$16&gt;0,E53/Ayarlar!$B$16,0))</f>
        <v/>
      </c>
      <c r="H53" s="12" t="n"/>
      <c r="I53" s="12" t="n"/>
      <c r="J53" s="13" t="n"/>
      <c r="K53" s="14">
        <f>IF(AND(H53="",I53=""),"",H53-IF(Ayarlar!$B$16&gt;0,I53/Ayarlar!$B$16,0))</f>
        <v/>
      </c>
      <c r="L53" s="12" t="n"/>
      <c r="M53" s="12" t="n"/>
      <c r="N53" s="13" t="n"/>
      <c r="O53" s="14">
        <f>IF(AND(L53="",M53=""),"",L53-IF(Ayarlar!$B$16&gt;0,M53/Ayarlar!$B$16,0))</f>
        <v/>
      </c>
      <c r="P53" s="12" t="n"/>
      <c r="Q53" s="12" t="n"/>
      <c r="R53" s="13" t="n"/>
      <c r="S53" s="14">
        <f>IF(AND(P53="",Q53=""),"",P53-IF(Ayarlar!$B$16&gt;0,Q53/Ayarlar!$B$16,0))</f>
        <v/>
      </c>
      <c r="T53" s="12" t="n"/>
      <c r="U53" s="12" t="n"/>
      <c r="V53" s="13" t="n"/>
      <c r="W53" s="14">
        <f>IF(AND(T53="",U53=""),"",T53-IF(Ayarlar!$B$16&gt;0,U53/Ayarlar!$B$16,0))</f>
        <v/>
      </c>
      <c r="X53" s="12" t="n"/>
      <c r="Y53" s="12" t="n"/>
      <c r="Z53" s="13" t="n"/>
      <c r="AA53" s="14">
        <f>IF(AND(X53="",Y53=""),"",X53-IF(Ayarlar!$B$16&gt;0,Y53/Ayarlar!$B$16,0))</f>
        <v/>
      </c>
      <c r="AB53" s="12" t="n"/>
      <c r="AC53" s="12" t="n"/>
      <c r="AD53" s="13" t="n"/>
      <c r="AE53" s="14">
        <f>IF(AND(AB53="",AC53=""),"",AB53-IF(Ayarlar!$B$16&gt;0,AC53/Ayarlar!$B$16,0))</f>
        <v/>
      </c>
      <c r="AF53" s="12" t="n"/>
      <c r="AG53" s="12" t="n"/>
      <c r="AH53" s="13" t="n"/>
      <c r="AI53" s="14">
        <f>IF(AND(AF53="",AG53=""),"",AF53-IF(Ayarlar!$B$16&gt;0,AG53/Ayarlar!$B$16,0))</f>
        <v/>
      </c>
      <c r="AJ53" s="15">
        <f>IF(COUNT(D53,E53,H53,I53,L53,M53,P53,Q53,T53,U53,X53,Y53,AB53,AC53,AF53,AG53)=0,"",D53+H53+L53+P53+T53+X53+AB53+AF53)</f>
        <v/>
      </c>
      <c r="AK53" s="15">
        <f>IF(COUNT(D53,E53,H53,I53,L53,M53,P53,Q53,T53,U53,X53,Y53,AB53,AC53,AF53,AG53)=0,"",E53+I53+M53+Q53+U53+Y53+AC53+AG53)</f>
        <v/>
      </c>
      <c r="AL53" s="15">
        <f>IF(COUNT(D53,E53,H53,I53,L53,M53,P53,Q53,T53,U53,X53,Y53,AB53,AC53,AF53,AG53)=0,"",IF(ISNUMBER(G53),IF(F53="",Ayarlar!$B$4,F53),0)+IF(ISNUMBER(K53),IF(J53="",Ayarlar!$B$5,J53),0)+IF(ISNUMBER(O53),IF(N53="",Ayarlar!$B$6,N53),0)+IF(ISNUMBER(S53),IF(R53="",Ayarlar!$B$7,R53),0)+IF(ISNUMBER(W53),IF(V53="",Ayarlar!$B$8,V53),0)+IF(ISNUMBER(AA53),IF(Z53="",Ayarlar!$B$9,Z53),0)+IF(ISNUMBER(AE53),IF(AD53="",Ayarlar!$B$10,AD53),0)+IF(ISNUMBER(AI53),IF(AH53="",Ayarlar!$B$11,AH53),0))</f>
        <v/>
      </c>
      <c r="AM53" s="15">
        <f>IF(COUNT(D53,E53,H53,I53,L53,M53,P53,Q53,T53,U53,X53,Y53,AB53,AC53,AF53,AG53)=0,"",AL53-AJ53-AK53)</f>
        <v/>
      </c>
      <c r="AN53" s="16">
        <f>IF(COUNT(D53,E53,H53,I53,L53,M53,P53,Q53,T53,U53,X53,Y53,AB53,AC53,AF53,AG53)=0,"",SUM(G53,K53,O53,S53,W53,AA53,AE53,AI53))</f>
        <v/>
      </c>
      <c r="AO53" s="17">
        <f>IF(OR(COUNT(D53,E53,H53,I53,L53,M53,P53,Q53,T53,U53,X53,Y53,AB53,AC53,AF53,AG53)=0,N(AL53)=0),"",AN53/AL53)</f>
        <v/>
      </c>
      <c r="AP53" s="18">
        <f>IF(OR(AO53="",AO52=""),"",AO53-AO52)</f>
        <v/>
      </c>
      <c r="AQ53" s="19">
        <f>IFERROR((IF(Ayarlar!$B$21=Ayarlar!$E$21,N(G53),0)+IF(Ayarlar!$B$22=Ayarlar!$E$21,N(K53),0)+IF(Ayarlar!$B$23=Ayarlar!$E$21,N(O53),0)+IF(Ayarlar!$B$24=Ayarlar!$E$21,N(S53),0)+IF(Ayarlar!$B$25=Ayarlar!$E$21,N(W53),0)+IF(Ayarlar!$B$26=Ayarlar!$E$21,N(AA53),0)+IF(Ayarlar!$B$27=Ayarlar!$E$21,N(AE53),0)+IF(Ayarlar!$B$28=Ayarlar!$E$21,N(AI53),0))/(IF(AND(Ayarlar!$B$21=Ayarlar!$E$21,ISNUMBER(G53)),IF(F53="",Ayarlar!$B$4,F53),0)+IF(AND(Ayarlar!$B$22=Ayarlar!$E$21,ISNUMBER(K53)),IF(J53="",Ayarlar!$B$5,J53),0)+IF(AND(Ayarlar!$B$23=Ayarlar!$E$21,ISNUMBER(O53)),IF(N53="",Ayarlar!$B$6,N53),0)+IF(AND(Ayarlar!$B$24=Ayarlar!$E$21,ISNUMBER(S53)),IF(R53="",Ayarlar!$B$7,R53),0)+IF(AND(Ayarlar!$B$25=Ayarlar!$E$21,ISNUMBER(W53)),IF(V53="",Ayarlar!$B$8,V53),0)+IF(AND(Ayarlar!$B$26=Ayarlar!$E$21,ISNUMBER(AA53)),IF(Z53="",Ayarlar!$B$9,Z53),0)+IF(AND(Ayarlar!$B$27=Ayarlar!$E$21,ISNUMBER(AE53)),IF(AD53="",Ayarlar!$B$10,AD53),0)+IF(AND(Ayarlar!$B$28=Ayarlar!$E$21,ISNUMBER(AI53)),IF(AH53="",Ayarlar!$B$11,AH53),0))*Ayarlar!$F$21,"")</f>
        <v/>
      </c>
      <c r="AR53" s="19">
        <f>IFERROR((IF(Ayarlar!$B$21=Ayarlar!$E$22,N(G53),0)+IF(Ayarlar!$B$22=Ayarlar!$E$22,N(K53),0)+IF(Ayarlar!$B$23=Ayarlar!$E$22,N(O53),0)+IF(Ayarlar!$B$24=Ayarlar!$E$22,N(S53),0)+IF(Ayarlar!$B$25=Ayarlar!$E$22,N(W53),0)+IF(Ayarlar!$B$26=Ayarlar!$E$22,N(AA53),0)+IF(Ayarlar!$B$27=Ayarlar!$E$22,N(AE53),0)+IF(Ayarlar!$B$28=Ayarlar!$E$22,N(AI53),0))/(IF(AND(Ayarlar!$B$21=Ayarlar!$E$22,ISNUMBER(G53)),IF(F53="",Ayarlar!$B$4,F53),0)+IF(AND(Ayarlar!$B$22=Ayarlar!$E$22,ISNUMBER(K53)),IF(J53="",Ayarlar!$B$5,J53),0)+IF(AND(Ayarlar!$B$23=Ayarlar!$E$22,ISNUMBER(O53)),IF(N53="",Ayarlar!$B$6,N53),0)+IF(AND(Ayarlar!$B$24=Ayarlar!$E$22,ISNUMBER(S53)),IF(R53="",Ayarlar!$B$7,R53),0)+IF(AND(Ayarlar!$B$25=Ayarlar!$E$22,ISNUMBER(W53)),IF(V53="",Ayarlar!$B$8,V53),0)+IF(AND(Ayarlar!$B$26=Ayarlar!$E$22,ISNUMBER(AA53)),IF(Z53="",Ayarlar!$B$9,Z53),0)+IF(AND(Ayarlar!$B$27=Ayarlar!$E$22,ISNUMBER(AE53)),IF(AD53="",Ayarlar!$B$10,AD53),0)+IF(AND(Ayarlar!$B$28=Ayarlar!$E$22,ISNUMBER(AI53)),IF(AH53="",Ayarlar!$B$11,AH53),0))*Ayarlar!$F$22,"")</f>
        <v/>
      </c>
      <c r="AS53" s="19">
        <f>IFERROR((IF(Ayarlar!$B$21=Ayarlar!$E$23,N(G53),0)+IF(Ayarlar!$B$22=Ayarlar!$E$23,N(K53),0)+IF(Ayarlar!$B$23=Ayarlar!$E$23,N(O53),0)+IF(Ayarlar!$B$24=Ayarlar!$E$23,N(S53),0)+IF(Ayarlar!$B$25=Ayarlar!$E$23,N(W53),0)+IF(Ayarlar!$B$26=Ayarlar!$E$23,N(AA53),0)+IF(Ayarlar!$B$27=Ayarlar!$E$23,N(AE53),0)+IF(Ayarlar!$B$28=Ayarlar!$E$23,N(AI53),0))/(IF(AND(Ayarlar!$B$21=Ayarlar!$E$23,ISNUMBER(G53)),IF(F53="",Ayarlar!$B$4,F53),0)+IF(AND(Ayarlar!$B$22=Ayarlar!$E$23,ISNUMBER(K53)),IF(J53="",Ayarlar!$B$5,J53),0)+IF(AND(Ayarlar!$B$23=Ayarlar!$E$23,ISNUMBER(O53)),IF(N53="",Ayarlar!$B$6,N53),0)+IF(AND(Ayarlar!$B$24=Ayarlar!$E$23,ISNUMBER(S53)),IF(R53="",Ayarlar!$B$7,R53),0)+IF(AND(Ayarlar!$B$25=Ayarlar!$E$23,ISNUMBER(W53)),IF(V53="",Ayarlar!$B$8,V53),0)+IF(AND(Ayarlar!$B$26=Ayarlar!$E$23,ISNUMBER(AA53)),IF(Z53="",Ayarlar!$B$9,Z53),0)+IF(AND(Ayarlar!$B$27=Ayarlar!$E$23,ISNUMBER(AE53)),IF(AD53="",Ayarlar!$B$10,AD53),0)+IF(AND(Ayarlar!$B$28=Ayarlar!$E$23,ISNUMBER(AI53)),IF(AH53="",Ayarlar!$B$11,AH53),0))*Ayarlar!$F$23,"")</f>
        <v/>
      </c>
      <c r="AT53" s="19">
        <f>IFERROR((IF(Ayarlar!$B$21=Ayarlar!$E$24,N(G53),0)+IF(Ayarlar!$B$22=Ayarlar!$E$24,N(K53),0)+IF(Ayarlar!$B$23=Ayarlar!$E$24,N(O53),0)+IF(Ayarlar!$B$24=Ayarlar!$E$24,N(S53),0)+IF(Ayarlar!$B$25=Ayarlar!$E$24,N(W53),0)+IF(Ayarlar!$B$26=Ayarlar!$E$24,N(AA53),0)+IF(Ayarlar!$B$27=Ayarlar!$E$24,N(AE53),0)+IF(Ayarlar!$B$28=Ayarlar!$E$24,N(AI53),0))/(IF(AND(Ayarlar!$B$21=Ayarlar!$E$24,ISNUMBER(G53)),IF(F53="",Ayarlar!$B$4,F53),0)+IF(AND(Ayarlar!$B$22=Ayarlar!$E$24,ISNUMBER(K53)),IF(J53="",Ayarlar!$B$5,J53),0)+IF(AND(Ayarlar!$B$23=Ayarlar!$E$24,ISNUMBER(O53)),IF(N53="",Ayarlar!$B$6,N53),0)+IF(AND(Ayarlar!$B$24=Ayarlar!$E$24,ISNUMBER(S53)),IF(R53="",Ayarlar!$B$7,R53),0)+IF(AND(Ayarlar!$B$25=Ayarlar!$E$24,ISNUMBER(W53)),IF(V53="",Ayarlar!$B$8,V53),0)+IF(AND(Ayarlar!$B$26=Ayarlar!$E$24,ISNUMBER(AA53)),IF(Z53="",Ayarlar!$B$9,Z53),0)+IF(AND(Ayarlar!$B$27=Ayarlar!$E$24,ISNUMBER(AE53)),IF(AD53="",Ayarlar!$B$10,AD53),0)+IF(AND(Ayarlar!$B$28=Ayarlar!$E$24,ISNUMBER(AI53)),IF(AH53="",Ayarlar!$B$11,AH53),0))*Ayarlar!$F$24,"")</f>
        <v/>
      </c>
      <c r="AU53" s="20">
        <f>IF(COUNT(AQ53,AR53,AS53,AT53)&lt;4,"",Ayarlar!$F$25+AQ53*Ayarlar!$G$21+AR53*Ayarlar!$G$22+AS53*Ayarlar!$G$23+AT53*Ayarlar!$G$24)</f>
        <v/>
      </c>
    </row>
    <row r="54">
      <c r="A54" s="10" t="n">
        <v>50</v>
      </c>
      <c r="B54" s="11" t="n"/>
      <c r="C54" s="4" t="n"/>
      <c r="D54" s="12" t="n"/>
      <c r="E54" s="12" t="n"/>
      <c r="F54" s="13" t="n"/>
      <c r="G54" s="14">
        <f>IF(AND(D54="",E54=""),"",D54-IF(Ayarlar!$B$16&gt;0,E54/Ayarlar!$B$16,0))</f>
        <v/>
      </c>
      <c r="H54" s="12" t="n"/>
      <c r="I54" s="12" t="n"/>
      <c r="J54" s="13" t="n"/>
      <c r="K54" s="14">
        <f>IF(AND(H54="",I54=""),"",H54-IF(Ayarlar!$B$16&gt;0,I54/Ayarlar!$B$16,0))</f>
        <v/>
      </c>
      <c r="L54" s="12" t="n"/>
      <c r="M54" s="12" t="n"/>
      <c r="N54" s="13" t="n"/>
      <c r="O54" s="14">
        <f>IF(AND(L54="",M54=""),"",L54-IF(Ayarlar!$B$16&gt;0,M54/Ayarlar!$B$16,0))</f>
        <v/>
      </c>
      <c r="P54" s="12" t="n"/>
      <c r="Q54" s="12" t="n"/>
      <c r="R54" s="13" t="n"/>
      <c r="S54" s="14">
        <f>IF(AND(P54="",Q54=""),"",P54-IF(Ayarlar!$B$16&gt;0,Q54/Ayarlar!$B$16,0))</f>
        <v/>
      </c>
      <c r="T54" s="12" t="n"/>
      <c r="U54" s="12" t="n"/>
      <c r="V54" s="13" t="n"/>
      <c r="W54" s="14">
        <f>IF(AND(T54="",U54=""),"",T54-IF(Ayarlar!$B$16&gt;0,U54/Ayarlar!$B$16,0))</f>
        <v/>
      </c>
      <c r="X54" s="12" t="n"/>
      <c r="Y54" s="12" t="n"/>
      <c r="Z54" s="13" t="n"/>
      <c r="AA54" s="14">
        <f>IF(AND(X54="",Y54=""),"",X54-IF(Ayarlar!$B$16&gt;0,Y54/Ayarlar!$B$16,0))</f>
        <v/>
      </c>
      <c r="AB54" s="12" t="n"/>
      <c r="AC54" s="12" t="n"/>
      <c r="AD54" s="13" t="n"/>
      <c r="AE54" s="14">
        <f>IF(AND(AB54="",AC54=""),"",AB54-IF(Ayarlar!$B$16&gt;0,AC54/Ayarlar!$B$16,0))</f>
        <v/>
      </c>
      <c r="AF54" s="12" t="n"/>
      <c r="AG54" s="12" t="n"/>
      <c r="AH54" s="13" t="n"/>
      <c r="AI54" s="14">
        <f>IF(AND(AF54="",AG54=""),"",AF54-IF(Ayarlar!$B$16&gt;0,AG54/Ayarlar!$B$16,0))</f>
        <v/>
      </c>
      <c r="AJ54" s="15">
        <f>IF(COUNT(D54,E54,H54,I54,L54,M54,P54,Q54,T54,U54,X54,Y54,AB54,AC54,AF54,AG54)=0,"",D54+H54+L54+P54+T54+X54+AB54+AF54)</f>
        <v/>
      </c>
      <c r="AK54" s="15">
        <f>IF(COUNT(D54,E54,H54,I54,L54,M54,P54,Q54,T54,U54,X54,Y54,AB54,AC54,AF54,AG54)=0,"",E54+I54+M54+Q54+U54+Y54+AC54+AG54)</f>
        <v/>
      </c>
      <c r="AL54" s="15">
        <f>IF(COUNT(D54,E54,H54,I54,L54,M54,P54,Q54,T54,U54,X54,Y54,AB54,AC54,AF54,AG54)=0,"",IF(ISNUMBER(G54),IF(F54="",Ayarlar!$B$4,F54),0)+IF(ISNUMBER(K54),IF(J54="",Ayarlar!$B$5,J54),0)+IF(ISNUMBER(O54),IF(N54="",Ayarlar!$B$6,N54),0)+IF(ISNUMBER(S54),IF(R54="",Ayarlar!$B$7,R54),0)+IF(ISNUMBER(W54),IF(V54="",Ayarlar!$B$8,V54),0)+IF(ISNUMBER(AA54),IF(Z54="",Ayarlar!$B$9,Z54),0)+IF(ISNUMBER(AE54),IF(AD54="",Ayarlar!$B$10,AD54),0)+IF(ISNUMBER(AI54),IF(AH54="",Ayarlar!$B$11,AH54),0))</f>
        <v/>
      </c>
      <c r="AM54" s="15">
        <f>IF(COUNT(D54,E54,H54,I54,L54,M54,P54,Q54,T54,U54,X54,Y54,AB54,AC54,AF54,AG54)=0,"",AL54-AJ54-AK54)</f>
        <v/>
      </c>
      <c r="AN54" s="16">
        <f>IF(COUNT(D54,E54,H54,I54,L54,M54,P54,Q54,T54,U54,X54,Y54,AB54,AC54,AF54,AG54)=0,"",SUM(G54,K54,O54,S54,W54,AA54,AE54,AI54))</f>
        <v/>
      </c>
      <c r="AO54" s="17">
        <f>IF(OR(COUNT(D54,E54,H54,I54,L54,M54,P54,Q54,T54,U54,X54,Y54,AB54,AC54,AF54,AG54)=0,N(AL54)=0),"",AN54/AL54)</f>
        <v/>
      </c>
      <c r="AP54" s="18">
        <f>IF(OR(AO54="",AO53=""),"",AO54-AO53)</f>
        <v/>
      </c>
      <c r="AQ54" s="19">
        <f>IFERROR((IF(Ayarlar!$B$21=Ayarlar!$E$21,N(G54),0)+IF(Ayarlar!$B$22=Ayarlar!$E$21,N(K54),0)+IF(Ayarlar!$B$23=Ayarlar!$E$21,N(O54),0)+IF(Ayarlar!$B$24=Ayarlar!$E$21,N(S54),0)+IF(Ayarlar!$B$25=Ayarlar!$E$21,N(W54),0)+IF(Ayarlar!$B$26=Ayarlar!$E$21,N(AA54),0)+IF(Ayarlar!$B$27=Ayarlar!$E$21,N(AE54),0)+IF(Ayarlar!$B$28=Ayarlar!$E$21,N(AI54),0))/(IF(AND(Ayarlar!$B$21=Ayarlar!$E$21,ISNUMBER(G54)),IF(F54="",Ayarlar!$B$4,F54),0)+IF(AND(Ayarlar!$B$22=Ayarlar!$E$21,ISNUMBER(K54)),IF(J54="",Ayarlar!$B$5,J54),0)+IF(AND(Ayarlar!$B$23=Ayarlar!$E$21,ISNUMBER(O54)),IF(N54="",Ayarlar!$B$6,N54),0)+IF(AND(Ayarlar!$B$24=Ayarlar!$E$21,ISNUMBER(S54)),IF(R54="",Ayarlar!$B$7,R54),0)+IF(AND(Ayarlar!$B$25=Ayarlar!$E$21,ISNUMBER(W54)),IF(V54="",Ayarlar!$B$8,V54),0)+IF(AND(Ayarlar!$B$26=Ayarlar!$E$21,ISNUMBER(AA54)),IF(Z54="",Ayarlar!$B$9,Z54),0)+IF(AND(Ayarlar!$B$27=Ayarlar!$E$21,ISNUMBER(AE54)),IF(AD54="",Ayarlar!$B$10,AD54),0)+IF(AND(Ayarlar!$B$28=Ayarlar!$E$21,ISNUMBER(AI54)),IF(AH54="",Ayarlar!$B$11,AH54),0))*Ayarlar!$F$21,"")</f>
        <v/>
      </c>
      <c r="AR54" s="19">
        <f>IFERROR((IF(Ayarlar!$B$21=Ayarlar!$E$22,N(G54),0)+IF(Ayarlar!$B$22=Ayarlar!$E$22,N(K54),0)+IF(Ayarlar!$B$23=Ayarlar!$E$22,N(O54),0)+IF(Ayarlar!$B$24=Ayarlar!$E$22,N(S54),0)+IF(Ayarlar!$B$25=Ayarlar!$E$22,N(W54),0)+IF(Ayarlar!$B$26=Ayarlar!$E$22,N(AA54),0)+IF(Ayarlar!$B$27=Ayarlar!$E$22,N(AE54),0)+IF(Ayarlar!$B$28=Ayarlar!$E$22,N(AI54),0))/(IF(AND(Ayarlar!$B$21=Ayarlar!$E$22,ISNUMBER(G54)),IF(F54="",Ayarlar!$B$4,F54),0)+IF(AND(Ayarlar!$B$22=Ayarlar!$E$22,ISNUMBER(K54)),IF(J54="",Ayarlar!$B$5,J54),0)+IF(AND(Ayarlar!$B$23=Ayarlar!$E$22,ISNUMBER(O54)),IF(N54="",Ayarlar!$B$6,N54),0)+IF(AND(Ayarlar!$B$24=Ayarlar!$E$22,ISNUMBER(S54)),IF(R54="",Ayarlar!$B$7,R54),0)+IF(AND(Ayarlar!$B$25=Ayarlar!$E$22,ISNUMBER(W54)),IF(V54="",Ayarlar!$B$8,V54),0)+IF(AND(Ayarlar!$B$26=Ayarlar!$E$22,ISNUMBER(AA54)),IF(Z54="",Ayarlar!$B$9,Z54),0)+IF(AND(Ayarlar!$B$27=Ayarlar!$E$22,ISNUMBER(AE54)),IF(AD54="",Ayarlar!$B$10,AD54),0)+IF(AND(Ayarlar!$B$28=Ayarlar!$E$22,ISNUMBER(AI54)),IF(AH54="",Ayarlar!$B$11,AH54),0))*Ayarlar!$F$22,"")</f>
        <v/>
      </c>
      <c r="AS54" s="19">
        <f>IFERROR((IF(Ayarlar!$B$21=Ayarlar!$E$23,N(G54),0)+IF(Ayarlar!$B$22=Ayarlar!$E$23,N(K54),0)+IF(Ayarlar!$B$23=Ayarlar!$E$23,N(O54),0)+IF(Ayarlar!$B$24=Ayarlar!$E$23,N(S54),0)+IF(Ayarlar!$B$25=Ayarlar!$E$23,N(W54),0)+IF(Ayarlar!$B$26=Ayarlar!$E$23,N(AA54),0)+IF(Ayarlar!$B$27=Ayarlar!$E$23,N(AE54),0)+IF(Ayarlar!$B$28=Ayarlar!$E$23,N(AI54),0))/(IF(AND(Ayarlar!$B$21=Ayarlar!$E$23,ISNUMBER(G54)),IF(F54="",Ayarlar!$B$4,F54),0)+IF(AND(Ayarlar!$B$22=Ayarlar!$E$23,ISNUMBER(K54)),IF(J54="",Ayarlar!$B$5,J54),0)+IF(AND(Ayarlar!$B$23=Ayarlar!$E$23,ISNUMBER(O54)),IF(N54="",Ayarlar!$B$6,N54),0)+IF(AND(Ayarlar!$B$24=Ayarlar!$E$23,ISNUMBER(S54)),IF(R54="",Ayarlar!$B$7,R54),0)+IF(AND(Ayarlar!$B$25=Ayarlar!$E$23,ISNUMBER(W54)),IF(V54="",Ayarlar!$B$8,V54),0)+IF(AND(Ayarlar!$B$26=Ayarlar!$E$23,ISNUMBER(AA54)),IF(Z54="",Ayarlar!$B$9,Z54),0)+IF(AND(Ayarlar!$B$27=Ayarlar!$E$23,ISNUMBER(AE54)),IF(AD54="",Ayarlar!$B$10,AD54),0)+IF(AND(Ayarlar!$B$28=Ayarlar!$E$23,ISNUMBER(AI54)),IF(AH54="",Ayarlar!$B$11,AH54),0))*Ayarlar!$F$23,"")</f>
        <v/>
      </c>
      <c r="AT54" s="19">
        <f>IFERROR((IF(Ayarlar!$B$21=Ayarlar!$E$24,N(G54),0)+IF(Ayarlar!$B$22=Ayarlar!$E$24,N(K54),0)+IF(Ayarlar!$B$23=Ayarlar!$E$24,N(O54),0)+IF(Ayarlar!$B$24=Ayarlar!$E$24,N(S54),0)+IF(Ayarlar!$B$25=Ayarlar!$E$24,N(W54),0)+IF(Ayarlar!$B$26=Ayarlar!$E$24,N(AA54),0)+IF(Ayarlar!$B$27=Ayarlar!$E$24,N(AE54),0)+IF(Ayarlar!$B$28=Ayarlar!$E$24,N(AI54),0))/(IF(AND(Ayarlar!$B$21=Ayarlar!$E$24,ISNUMBER(G54)),IF(F54="",Ayarlar!$B$4,F54),0)+IF(AND(Ayarlar!$B$22=Ayarlar!$E$24,ISNUMBER(K54)),IF(J54="",Ayarlar!$B$5,J54),0)+IF(AND(Ayarlar!$B$23=Ayarlar!$E$24,ISNUMBER(O54)),IF(N54="",Ayarlar!$B$6,N54),0)+IF(AND(Ayarlar!$B$24=Ayarlar!$E$24,ISNUMBER(S54)),IF(R54="",Ayarlar!$B$7,R54),0)+IF(AND(Ayarlar!$B$25=Ayarlar!$E$24,ISNUMBER(W54)),IF(V54="",Ayarlar!$B$8,V54),0)+IF(AND(Ayarlar!$B$26=Ayarlar!$E$24,ISNUMBER(AA54)),IF(Z54="",Ayarlar!$B$9,Z54),0)+IF(AND(Ayarlar!$B$27=Ayarlar!$E$24,ISNUMBER(AE54)),IF(AD54="",Ayarlar!$B$10,AD54),0)+IF(AND(Ayarlar!$B$28=Ayarlar!$E$24,ISNUMBER(AI54)),IF(AH54="",Ayarlar!$B$11,AH54),0))*Ayarlar!$F$24,"")</f>
        <v/>
      </c>
      <c r="AU54" s="20">
        <f>IF(COUNT(AQ54,AR54,AS54,AT54)&lt;4,"",Ayarlar!$F$25+AQ54*Ayarlar!$G$21+AR54*Ayarlar!$G$22+AS54*Ayarlar!$G$23+AT54*Ayarlar!$G$24)</f>
        <v/>
      </c>
    </row>
  </sheetData>
  <mergeCells count="13">
    <mergeCell ref="D3:G3"/>
    <mergeCell ref="T3:W3"/>
    <mergeCell ref="X3:AA3"/>
    <mergeCell ref="AB3:AE3"/>
    <mergeCell ref="H3:K3"/>
    <mergeCell ref="C3:C4"/>
    <mergeCell ref="B3:B4"/>
    <mergeCell ref="A3:A4"/>
    <mergeCell ref="L3:O3"/>
    <mergeCell ref="P3:S3"/>
    <mergeCell ref="AF3:AI3"/>
    <mergeCell ref="AQ3:AU3"/>
    <mergeCell ref="AJ3:AP3"/>
  </mergeCells>
  <conditionalFormatting sqref="D5:E54">
    <cfRule type="expression" priority="1" dxfId="0">
      <formula>N($D5)+N($E5)&gt;IF($F5="",Ayarlar!$B$4,$F5)</formula>
    </cfRule>
  </conditionalFormatting>
  <conditionalFormatting sqref="H5:I54">
    <cfRule type="expression" priority="2" dxfId="0">
      <formula>N($H5)+N($I5)&gt;IF($J5="",Ayarlar!$B$5,$J5)</formula>
    </cfRule>
  </conditionalFormatting>
  <conditionalFormatting sqref="L5:M54">
    <cfRule type="expression" priority="3" dxfId="0">
      <formula>N($L5)+N($M5)&gt;IF($N5="",Ayarlar!$B$6,$N5)</formula>
    </cfRule>
  </conditionalFormatting>
  <conditionalFormatting sqref="P5:Q54">
    <cfRule type="expression" priority="4" dxfId="0">
      <formula>N($P5)+N($Q5)&gt;IF($R5="",Ayarlar!$B$7,$R5)</formula>
    </cfRule>
  </conditionalFormatting>
  <conditionalFormatting sqref="T5:U54">
    <cfRule type="expression" priority="5" dxfId="0">
      <formula>N($T5)+N($U5)&gt;IF($V5="",Ayarlar!$B$8,$V5)</formula>
    </cfRule>
  </conditionalFormatting>
  <conditionalFormatting sqref="X5:Y54">
    <cfRule type="expression" priority="6" dxfId="0">
      <formula>N($X5)+N($Y5)&gt;IF($Z5="",Ayarlar!$B$9,$Z5)</formula>
    </cfRule>
  </conditionalFormatting>
  <conditionalFormatting sqref="AB5:AC54">
    <cfRule type="expression" priority="7" dxfId="0">
      <formula>N($AB5)+N($AC5)&gt;IF($AD5="",Ayarlar!$B$10,$AD5)</formula>
    </cfRule>
  </conditionalFormatting>
  <conditionalFormatting sqref="AF5:AG54">
    <cfRule type="expression" priority="8" dxfId="0">
      <formula>N($AF5)+N($AG5)&gt;IF($AH5="",Ayarlar!$B$11,$AH5)</formula>
    </cfRule>
  </conditionalFormatting>
  <conditionalFormatting sqref="AP5:AP54">
    <cfRule type="cellIs" priority="9" operator="greaterThan" dxfId="1">
      <formula>0</formula>
    </cfRule>
    <cfRule type="cellIs" priority="10" operator="lessThan" dxfId="2">
      <formula>0</formula>
    </cfRule>
  </conditionalFormatting>
  <conditionalFormatting sqref="AO5:AO54">
    <cfRule type="dataBar" priority="11">
      <dataBar>
        <cfvo type="num" val="0"/>
        <cfvo type="num" val="1"/>
        <color rgb="005B9BD5"/>
      </dataBar>
    </cfRule>
  </conditionalFormatting>
  <dataValidations count="24">
    <dataValidation sqref="D5:D54" showDropDown="0" showInputMessage="0" showErrorMessage="1" allowBlank="1" errorTitle="Hatalı giriş" error="D + Y bu dersin soru sayısını geçemez. Bu denemede soru sayısı farklıysa önce 'Soru' hücresine yaz." type="custom">
      <formula1>AND(ISNUMBER(D5),D5&gt;=0,D5=INT(D5),N(D5)+N(E5)&lt;=IF(F5="",Ayarlar!$B$4,F5))</formula1>
    </dataValidation>
    <dataValidation sqref="E5:E54" showDropDown="0" showInputMessage="0" showErrorMessage="1" allowBlank="1" errorTitle="Hatalı giriş" error="D + Y bu dersin soru sayısını geçemez. Bu denemede soru sayısı farklıysa önce 'Soru' hücresine yaz." type="custom">
      <formula1>AND(ISNUMBER(E5),E5&gt;=0,E5=INT(E5),N(D5)+N(E5)&lt;=IF(F5="",Ayarlar!$B$4,F5))</formula1>
    </dataValidation>
    <dataValidation sqref="F5:F54" showDropDown="0" showInputMessage="0" showErrorMessage="1" allowBlank="1" errorTitle="Hatalı giriş" error="Soru sayısı 1 ile 100 arasında bir tam sayı olmalı." type="whole" operator="between">
      <formula1>1</formula1>
      <formula2>100</formula2>
    </dataValidation>
    <dataValidation sqref="H5:H54" showDropDown="0" showInputMessage="0" showErrorMessage="1" allowBlank="1" errorTitle="Hatalı giriş" error="D + Y bu dersin soru sayısını geçemez. Bu denemede soru sayısı farklıysa önce 'Soru' hücresine yaz." type="custom">
      <formula1>AND(ISNUMBER(H5),H5&gt;=0,H5=INT(H5),N(H5)+N(I5)&lt;=IF(J5="",Ayarlar!$B$5,J5))</formula1>
    </dataValidation>
    <dataValidation sqref="I5:I54" showDropDown="0" showInputMessage="0" showErrorMessage="1" allowBlank="1" errorTitle="Hatalı giriş" error="D + Y bu dersin soru sayısını geçemez. Bu denemede soru sayısı farklıysa önce 'Soru' hücresine yaz." type="custom">
      <formula1>AND(ISNUMBER(I5),I5&gt;=0,I5=INT(I5),N(H5)+N(I5)&lt;=IF(J5="",Ayarlar!$B$5,J5))</formula1>
    </dataValidation>
    <dataValidation sqref="J5:J54" showDropDown="0" showInputMessage="0" showErrorMessage="1" allowBlank="1" errorTitle="Hatalı giriş" error="Soru sayısı 1 ile 100 arasında bir tam sayı olmalı." type="whole" operator="between">
      <formula1>1</formula1>
      <formula2>100</formula2>
    </dataValidation>
    <dataValidation sqref="L5:L54" showDropDown="0" showInputMessage="0" showErrorMessage="1" allowBlank="1" errorTitle="Hatalı giriş" error="D + Y bu dersin soru sayısını geçemez. Bu denemede soru sayısı farklıysa önce 'Soru' hücresine yaz." type="custom">
      <formula1>AND(ISNUMBER(L5),L5&gt;=0,L5=INT(L5),N(L5)+N(M5)&lt;=IF(N5="",Ayarlar!$B$6,N5))</formula1>
    </dataValidation>
    <dataValidation sqref="M5:M54" showDropDown="0" showInputMessage="0" showErrorMessage="1" allowBlank="1" errorTitle="Hatalı giriş" error="D + Y bu dersin soru sayısını geçemez. Bu denemede soru sayısı farklıysa önce 'Soru' hücresine yaz." type="custom">
      <formula1>AND(ISNUMBER(M5),M5&gt;=0,M5=INT(M5),N(L5)+N(M5)&lt;=IF(N5="",Ayarlar!$B$6,N5))</formula1>
    </dataValidation>
    <dataValidation sqref="N5:N54" showDropDown="0" showInputMessage="0" showErrorMessage="1" allowBlank="1" errorTitle="Hatalı giriş" error="Soru sayısı 1 ile 100 arasında bir tam sayı olmalı." type="whole" operator="between">
      <formula1>1</formula1>
      <formula2>100</formula2>
    </dataValidation>
    <dataValidation sqref="P5:P54" showDropDown="0" showInputMessage="0" showErrorMessage="1" allowBlank="1" errorTitle="Hatalı giriş" error="D + Y bu dersin soru sayısını geçemez. Bu denemede soru sayısı farklıysa önce 'Soru' hücresine yaz." type="custom">
      <formula1>AND(ISNUMBER(P5),P5&gt;=0,P5=INT(P5),N(P5)+N(Q5)&lt;=IF(R5="",Ayarlar!$B$7,R5))</formula1>
    </dataValidation>
    <dataValidation sqref="Q5:Q54" showDropDown="0" showInputMessage="0" showErrorMessage="1" allowBlank="1" errorTitle="Hatalı giriş" error="D + Y bu dersin soru sayısını geçemez. Bu denemede soru sayısı farklıysa önce 'Soru' hücresine yaz." type="custom">
      <formula1>AND(ISNUMBER(Q5),Q5&gt;=0,Q5=INT(Q5),N(P5)+N(Q5)&lt;=IF(R5="",Ayarlar!$B$7,R5))</formula1>
    </dataValidation>
    <dataValidation sqref="R5:R54" showDropDown="0" showInputMessage="0" showErrorMessage="1" allowBlank="1" errorTitle="Hatalı giriş" error="Soru sayısı 1 ile 100 arasında bir tam sayı olmalı." type="whole" operator="between">
      <formula1>1</formula1>
      <formula2>100</formula2>
    </dataValidation>
    <dataValidation sqref="T5:T54" showDropDown="0" showInputMessage="0" showErrorMessage="1" allowBlank="1" errorTitle="Hatalı giriş" error="D + Y bu dersin soru sayısını geçemez. Bu denemede soru sayısı farklıysa önce 'Soru' hücresine yaz." type="custom">
      <formula1>AND(ISNUMBER(T5),T5&gt;=0,T5=INT(T5),N(T5)+N(U5)&lt;=IF(V5="",Ayarlar!$B$8,V5))</formula1>
    </dataValidation>
    <dataValidation sqref="U5:U54" showDropDown="0" showInputMessage="0" showErrorMessage="1" allowBlank="1" errorTitle="Hatalı giriş" error="D + Y bu dersin soru sayısını geçemez. Bu denemede soru sayısı farklıysa önce 'Soru' hücresine yaz." type="custom">
      <formula1>AND(ISNUMBER(U5),U5&gt;=0,U5=INT(U5),N(T5)+N(U5)&lt;=IF(V5="",Ayarlar!$B$8,V5))</formula1>
    </dataValidation>
    <dataValidation sqref="V5:V54" showDropDown="0" showInputMessage="0" showErrorMessage="1" allowBlank="1" errorTitle="Hatalı giriş" error="Soru sayısı 1 ile 100 arasında bir tam sayı olmalı." type="whole" operator="between">
      <formula1>1</formula1>
      <formula2>100</formula2>
    </dataValidation>
    <dataValidation sqref="X5:X54" showDropDown="0" showInputMessage="0" showErrorMessage="1" allowBlank="1" errorTitle="Hatalı giriş" error="D + Y bu dersin soru sayısını geçemez. Bu denemede soru sayısı farklıysa önce 'Soru' hücresine yaz." type="custom">
      <formula1>AND(ISNUMBER(X5),X5&gt;=0,X5=INT(X5),N(X5)+N(Y5)&lt;=IF(Z5="",Ayarlar!$B$9,Z5))</formula1>
    </dataValidation>
    <dataValidation sqref="Y5:Y54" showDropDown="0" showInputMessage="0" showErrorMessage="1" allowBlank="1" errorTitle="Hatalı giriş" error="D + Y bu dersin soru sayısını geçemez. Bu denemede soru sayısı farklıysa önce 'Soru' hücresine yaz." type="custom">
      <formula1>AND(ISNUMBER(Y5),Y5&gt;=0,Y5=INT(Y5),N(X5)+N(Y5)&lt;=IF(Z5="",Ayarlar!$B$9,Z5))</formula1>
    </dataValidation>
    <dataValidation sqref="Z5:Z54" showDropDown="0" showInputMessage="0" showErrorMessage="1" allowBlank="1" errorTitle="Hatalı giriş" error="Soru sayısı 1 ile 100 arasında bir tam sayı olmalı." type="whole" operator="between">
      <formula1>1</formula1>
      <formula2>100</formula2>
    </dataValidation>
    <dataValidation sqref="AB5:AB54" showDropDown="0" showInputMessage="0" showErrorMessage="1" allowBlank="1" errorTitle="Hatalı giriş" error="D + Y bu dersin soru sayısını geçemez. Bu denemede soru sayısı farklıysa önce 'Soru' hücresine yaz." type="custom">
      <formula1>AND(ISNUMBER(AB5),AB5&gt;=0,AB5=INT(AB5),N(AB5)+N(AC5)&lt;=IF(AD5="",Ayarlar!$B$10,AD5))</formula1>
    </dataValidation>
    <dataValidation sqref="AC5:AC54" showDropDown="0" showInputMessage="0" showErrorMessage="1" allowBlank="1" errorTitle="Hatalı giriş" error="D + Y bu dersin soru sayısını geçemez. Bu denemede soru sayısı farklıysa önce 'Soru' hücresine yaz." type="custom">
      <formula1>AND(ISNUMBER(AC5),AC5&gt;=0,AC5=INT(AC5),N(AB5)+N(AC5)&lt;=IF(AD5="",Ayarlar!$B$10,AD5))</formula1>
    </dataValidation>
    <dataValidation sqref="AD5:AD54" showDropDown="0" showInputMessage="0" showErrorMessage="1" allowBlank="1" errorTitle="Hatalı giriş" error="Soru sayısı 1 ile 100 arasında bir tam sayı olmalı." type="whole" operator="between">
      <formula1>1</formula1>
      <formula2>100</formula2>
    </dataValidation>
    <dataValidation sqref="AF5:AF54" showDropDown="0" showInputMessage="0" showErrorMessage="1" allowBlank="1" errorTitle="Hatalı giriş" error="D + Y bu dersin soru sayısını geçemez. Bu denemede soru sayısı farklıysa önce 'Soru' hücresine yaz." type="custom">
      <formula1>AND(ISNUMBER(AF5),AF5&gt;=0,AF5=INT(AF5),N(AF5)+N(AG5)&lt;=IF(AH5="",Ayarlar!$B$11,AH5))</formula1>
    </dataValidation>
    <dataValidation sqref="AG5:AG54" showDropDown="0" showInputMessage="0" showErrorMessage="1" allowBlank="1" errorTitle="Hatalı giriş" error="D + Y bu dersin soru sayısını geçemez. Bu denemede soru sayısı farklıysa önce 'Soru' hücresine yaz." type="custom">
      <formula1>AND(ISNUMBER(AG5),AG5&gt;=0,AG5=INT(AG5),N(AF5)+N(AG5)&lt;=IF(AH5="",Ayarlar!$B$11,AH5))</formula1>
    </dataValidation>
    <dataValidation sqref="AH5:AH54" showDropDown="0" showInputMessage="0" showErrorMessage="1" allowBlank="1" errorTitle="Hatalı giriş" error="Soru sayısı 1 ile 100 arasında bir tam sayı olmalı." type="whole" operator="between">
      <formula1>1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32" customWidth="1" min="4" max="4"/>
    <col width="8" customWidth="1" min="5" max="5"/>
    <col width="11" customWidth="1" min="6" max="6"/>
    <col width="26" customWidth="1" min="7" max="7"/>
    <col width="13" customWidth="1" min="8" max="8"/>
    <col width="30" customWidth="1" min="9" max="9"/>
    <col width="12" customWidth="1" min="10" max="10"/>
  </cols>
  <sheetData>
    <row r="1">
      <c r="A1" s="1" t="inlineStr">
        <is>
          <t>Yanlış / Boş Soru Defteri</t>
        </is>
      </c>
    </row>
    <row r="2">
      <c r="A2" s="5" t="inlineStr">
        <is>
          <t>Her yanlış ya da boş soruyu bir satıra yaz. 'Kaçıncı kez' sütunu aynı konudan kaç kez hata yaptığını gösterir.</t>
        </is>
      </c>
    </row>
    <row r="3" ht="30" customHeight="1">
      <c r="A3" s="6" t="inlineStr">
        <is>
          <t>Tarih</t>
        </is>
      </c>
      <c r="B3" s="6" t="inlineStr">
        <is>
          <t>Deneme</t>
        </is>
      </c>
      <c r="C3" s="6" t="inlineStr">
        <is>
          <t>Ders</t>
        </is>
      </c>
      <c r="D3" s="6" t="inlineStr">
        <is>
          <t>Konu</t>
        </is>
      </c>
      <c r="E3" s="6" t="inlineStr">
        <is>
          <t>Soru No</t>
        </is>
      </c>
      <c r="F3" s="6" t="inlineStr">
        <is>
          <t>Yanlış / Boş</t>
        </is>
      </c>
      <c r="G3" s="6" t="inlineStr">
        <is>
          <t>Hata Nedeni</t>
        </is>
      </c>
      <c r="H3" s="6" t="inlineStr">
        <is>
          <t>Tekrar Çalışıldı mı?</t>
        </is>
      </c>
      <c r="I3" s="6" t="inlineStr">
        <is>
          <t>Not</t>
        </is>
      </c>
      <c r="J3" s="6" t="inlineStr">
        <is>
          <t>Bu konuda toplam hata</t>
        </is>
      </c>
    </row>
    <row r="4">
      <c r="A4" s="11" t="n">
        <v>46285</v>
      </c>
      <c r="B4" s="4" t="inlineStr">
        <is>
          <t>Örnek Yayın – Deneme 1</t>
        </is>
      </c>
      <c r="C4" s="4" t="inlineStr">
        <is>
          <t>Matematik</t>
        </is>
      </c>
      <c r="D4" s="4" t="inlineStr">
        <is>
          <t>Kümeler</t>
        </is>
      </c>
      <c r="E4" s="4" t="n">
        <v>7</v>
      </c>
      <c r="F4" s="4" t="inlineStr">
        <is>
          <t>Yanlış</t>
        </is>
      </c>
      <c r="G4" s="4" t="inlineStr">
        <is>
          <t>İşlem hatası</t>
        </is>
      </c>
      <c r="H4" s="4" t="inlineStr">
        <is>
          <t>Hayır</t>
        </is>
      </c>
      <c r="I4" s="4" t="inlineStr">
        <is>
          <t>Birleşim–kesişim karıştı</t>
        </is>
      </c>
      <c r="J4" s="21">
        <f>IF(OR(C4="",D4=""),"",COUNTIFS($C$4:$C$303,C4,$D$4:$D$303,D4))</f>
        <v/>
      </c>
    </row>
    <row r="5">
      <c r="A5" s="11" t="n"/>
      <c r="B5" s="4" t="n"/>
      <c r="C5" s="4" t="n"/>
      <c r="D5" s="4" t="n"/>
      <c r="E5" s="4" t="n"/>
      <c r="F5" s="4" t="n"/>
      <c r="G5" s="4" t="n"/>
      <c r="H5" s="4" t="n"/>
      <c r="I5" s="4" t="n"/>
      <c r="J5" s="21">
        <f>IF(OR(C5="",D5=""),"",COUNTIFS($C$4:$C$303,C5,$D$4:$D$303,D5))</f>
        <v/>
      </c>
    </row>
    <row r="6">
      <c r="A6" s="11" t="n"/>
      <c r="B6" s="4" t="n"/>
      <c r="C6" s="4" t="n"/>
      <c r="D6" s="4" t="n"/>
      <c r="E6" s="4" t="n"/>
      <c r="F6" s="4" t="n"/>
      <c r="G6" s="4" t="n"/>
      <c r="H6" s="4" t="n"/>
      <c r="I6" s="4" t="n"/>
      <c r="J6" s="21">
        <f>IF(OR(C6="",D6=""),"",COUNTIFS($C$4:$C$303,C6,$D$4:$D$303,D6))</f>
        <v/>
      </c>
    </row>
    <row r="7">
      <c r="A7" s="11" t="n"/>
      <c r="B7" s="4" t="n"/>
      <c r="C7" s="4" t="n"/>
      <c r="D7" s="4" t="n"/>
      <c r="E7" s="4" t="n"/>
      <c r="F7" s="4" t="n"/>
      <c r="G7" s="4" t="n"/>
      <c r="H7" s="4" t="n"/>
      <c r="I7" s="4" t="n"/>
      <c r="J7" s="21">
        <f>IF(OR(C7="",D7=""),"",COUNTIFS($C$4:$C$303,C7,$D$4:$D$303,D7))</f>
        <v/>
      </c>
    </row>
    <row r="8">
      <c r="A8" s="11" t="n"/>
      <c r="B8" s="4" t="n"/>
      <c r="C8" s="4" t="n"/>
      <c r="D8" s="4" t="n"/>
      <c r="E8" s="4" t="n"/>
      <c r="F8" s="4" t="n"/>
      <c r="G8" s="4" t="n"/>
      <c r="H8" s="4" t="n"/>
      <c r="I8" s="4" t="n"/>
      <c r="J8" s="21">
        <f>IF(OR(C8="",D8=""),"",COUNTIFS($C$4:$C$303,C8,$D$4:$D$303,D8))</f>
        <v/>
      </c>
    </row>
    <row r="9">
      <c r="A9" s="11" t="n"/>
      <c r="B9" s="4" t="n"/>
      <c r="C9" s="4" t="n"/>
      <c r="D9" s="4" t="n"/>
      <c r="E9" s="4" t="n"/>
      <c r="F9" s="4" t="n"/>
      <c r="G9" s="4" t="n"/>
      <c r="H9" s="4" t="n"/>
      <c r="I9" s="4" t="n"/>
      <c r="J9" s="21">
        <f>IF(OR(C9="",D9=""),"",COUNTIFS($C$4:$C$303,C9,$D$4:$D$303,D9))</f>
        <v/>
      </c>
    </row>
    <row r="10">
      <c r="A10" s="11" t="n"/>
      <c r="B10" s="4" t="n"/>
      <c r="C10" s="4" t="n"/>
      <c r="D10" s="4" t="n"/>
      <c r="E10" s="4" t="n"/>
      <c r="F10" s="4" t="n"/>
      <c r="G10" s="4" t="n"/>
      <c r="H10" s="4" t="n"/>
      <c r="I10" s="4" t="n"/>
      <c r="J10" s="21">
        <f>IF(OR(C10="",D10=""),"",COUNTIFS($C$4:$C$303,C10,$D$4:$D$303,D10))</f>
        <v/>
      </c>
    </row>
    <row r="11">
      <c r="A11" s="11" t="n"/>
      <c r="B11" s="4" t="n"/>
      <c r="C11" s="4" t="n"/>
      <c r="D11" s="4" t="n"/>
      <c r="E11" s="4" t="n"/>
      <c r="F11" s="4" t="n"/>
      <c r="G11" s="4" t="n"/>
      <c r="H11" s="4" t="n"/>
      <c r="I11" s="4" t="n"/>
      <c r="J11" s="21">
        <f>IF(OR(C11="",D11=""),"",COUNTIFS($C$4:$C$303,C11,$D$4:$D$303,D11))</f>
        <v/>
      </c>
    </row>
    <row r="12">
      <c r="A12" s="11" t="n"/>
      <c r="B12" s="4" t="n"/>
      <c r="C12" s="4" t="n"/>
      <c r="D12" s="4" t="n"/>
      <c r="E12" s="4" t="n"/>
      <c r="F12" s="4" t="n"/>
      <c r="G12" s="4" t="n"/>
      <c r="H12" s="4" t="n"/>
      <c r="I12" s="4" t="n"/>
      <c r="J12" s="21">
        <f>IF(OR(C12="",D12=""),"",COUNTIFS($C$4:$C$303,C12,$D$4:$D$303,D12))</f>
        <v/>
      </c>
    </row>
    <row r="13">
      <c r="A13" s="11" t="n"/>
      <c r="B13" s="4" t="n"/>
      <c r="C13" s="4" t="n"/>
      <c r="D13" s="4" t="n"/>
      <c r="E13" s="4" t="n"/>
      <c r="F13" s="4" t="n"/>
      <c r="G13" s="4" t="n"/>
      <c r="H13" s="4" t="n"/>
      <c r="I13" s="4" t="n"/>
      <c r="J13" s="21">
        <f>IF(OR(C13="",D13=""),"",COUNTIFS($C$4:$C$303,C13,$D$4:$D$303,D13))</f>
        <v/>
      </c>
    </row>
    <row r="14">
      <c r="A14" s="11" t="n"/>
      <c r="B14" s="4" t="n"/>
      <c r="C14" s="4" t="n"/>
      <c r="D14" s="4" t="n"/>
      <c r="E14" s="4" t="n"/>
      <c r="F14" s="4" t="n"/>
      <c r="G14" s="4" t="n"/>
      <c r="H14" s="4" t="n"/>
      <c r="I14" s="4" t="n"/>
      <c r="J14" s="21">
        <f>IF(OR(C14="",D14=""),"",COUNTIFS($C$4:$C$303,C14,$D$4:$D$303,D14))</f>
        <v/>
      </c>
    </row>
    <row r="15">
      <c r="A15" s="11" t="n"/>
      <c r="B15" s="4" t="n"/>
      <c r="C15" s="4" t="n"/>
      <c r="D15" s="4" t="n"/>
      <c r="E15" s="4" t="n"/>
      <c r="F15" s="4" t="n"/>
      <c r="G15" s="4" t="n"/>
      <c r="H15" s="4" t="n"/>
      <c r="I15" s="4" t="n"/>
      <c r="J15" s="21">
        <f>IF(OR(C15="",D15=""),"",COUNTIFS($C$4:$C$303,C15,$D$4:$D$303,D15))</f>
        <v/>
      </c>
    </row>
    <row r="16">
      <c r="A16" s="11" t="n"/>
      <c r="B16" s="4" t="n"/>
      <c r="C16" s="4" t="n"/>
      <c r="D16" s="4" t="n"/>
      <c r="E16" s="4" t="n"/>
      <c r="F16" s="4" t="n"/>
      <c r="G16" s="4" t="n"/>
      <c r="H16" s="4" t="n"/>
      <c r="I16" s="4" t="n"/>
      <c r="J16" s="21">
        <f>IF(OR(C16="",D16=""),"",COUNTIFS($C$4:$C$303,C16,$D$4:$D$303,D16))</f>
        <v/>
      </c>
    </row>
    <row r="17">
      <c r="A17" s="11" t="n"/>
      <c r="B17" s="4" t="n"/>
      <c r="C17" s="4" t="n"/>
      <c r="D17" s="4" t="n"/>
      <c r="E17" s="4" t="n"/>
      <c r="F17" s="4" t="n"/>
      <c r="G17" s="4" t="n"/>
      <c r="H17" s="4" t="n"/>
      <c r="I17" s="4" t="n"/>
      <c r="J17" s="21">
        <f>IF(OR(C17="",D17=""),"",COUNTIFS($C$4:$C$303,C17,$D$4:$D$303,D17))</f>
        <v/>
      </c>
    </row>
    <row r="18">
      <c r="A18" s="11" t="n"/>
      <c r="B18" s="4" t="n"/>
      <c r="C18" s="4" t="n"/>
      <c r="D18" s="4" t="n"/>
      <c r="E18" s="4" t="n"/>
      <c r="F18" s="4" t="n"/>
      <c r="G18" s="4" t="n"/>
      <c r="H18" s="4" t="n"/>
      <c r="I18" s="4" t="n"/>
      <c r="J18" s="21">
        <f>IF(OR(C18="",D18=""),"",COUNTIFS($C$4:$C$303,C18,$D$4:$D$303,D18))</f>
        <v/>
      </c>
    </row>
    <row r="19">
      <c r="A19" s="11" t="n"/>
      <c r="B19" s="4" t="n"/>
      <c r="C19" s="4" t="n"/>
      <c r="D19" s="4" t="n"/>
      <c r="E19" s="4" t="n"/>
      <c r="F19" s="4" t="n"/>
      <c r="G19" s="4" t="n"/>
      <c r="H19" s="4" t="n"/>
      <c r="I19" s="4" t="n"/>
      <c r="J19" s="21">
        <f>IF(OR(C19="",D19=""),"",COUNTIFS($C$4:$C$303,C19,$D$4:$D$303,D19))</f>
        <v/>
      </c>
    </row>
    <row r="20">
      <c r="A20" s="11" t="n"/>
      <c r="B20" s="4" t="n"/>
      <c r="C20" s="4" t="n"/>
      <c r="D20" s="4" t="n"/>
      <c r="E20" s="4" t="n"/>
      <c r="F20" s="4" t="n"/>
      <c r="G20" s="4" t="n"/>
      <c r="H20" s="4" t="n"/>
      <c r="I20" s="4" t="n"/>
      <c r="J20" s="21">
        <f>IF(OR(C20="",D20=""),"",COUNTIFS($C$4:$C$303,C20,$D$4:$D$303,D20))</f>
        <v/>
      </c>
    </row>
    <row r="21">
      <c r="A21" s="11" t="n"/>
      <c r="B21" s="4" t="n"/>
      <c r="C21" s="4" t="n"/>
      <c r="D21" s="4" t="n"/>
      <c r="E21" s="4" t="n"/>
      <c r="F21" s="4" t="n"/>
      <c r="G21" s="4" t="n"/>
      <c r="H21" s="4" t="n"/>
      <c r="I21" s="4" t="n"/>
      <c r="J21" s="21">
        <f>IF(OR(C21="",D21=""),"",COUNTIFS($C$4:$C$303,C21,$D$4:$D$303,D21))</f>
        <v/>
      </c>
    </row>
    <row r="22">
      <c r="A22" s="11" t="n"/>
      <c r="B22" s="4" t="n"/>
      <c r="C22" s="4" t="n"/>
      <c r="D22" s="4" t="n"/>
      <c r="E22" s="4" t="n"/>
      <c r="F22" s="4" t="n"/>
      <c r="G22" s="4" t="n"/>
      <c r="H22" s="4" t="n"/>
      <c r="I22" s="4" t="n"/>
      <c r="J22" s="21">
        <f>IF(OR(C22="",D22=""),"",COUNTIFS($C$4:$C$303,C22,$D$4:$D$303,D22))</f>
        <v/>
      </c>
    </row>
    <row r="23">
      <c r="A23" s="11" t="n"/>
      <c r="B23" s="4" t="n"/>
      <c r="C23" s="4" t="n"/>
      <c r="D23" s="4" t="n"/>
      <c r="E23" s="4" t="n"/>
      <c r="F23" s="4" t="n"/>
      <c r="G23" s="4" t="n"/>
      <c r="H23" s="4" t="n"/>
      <c r="I23" s="4" t="n"/>
      <c r="J23" s="21">
        <f>IF(OR(C23="",D23=""),"",COUNTIFS($C$4:$C$303,C23,$D$4:$D$303,D23))</f>
        <v/>
      </c>
    </row>
    <row r="24">
      <c r="A24" s="11" t="n"/>
      <c r="B24" s="4" t="n"/>
      <c r="C24" s="4" t="n"/>
      <c r="D24" s="4" t="n"/>
      <c r="E24" s="4" t="n"/>
      <c r="F24" s="4" t="n"/>
      <c r="G24" s="4" t="n"/>
      <c r="H24" s="4" t="n"/>
      <c r="I24" s="4" t="n"/>
      <c r="J24" s="21">
        <f>IF(OR(C24="",D24=""),"",COUNTIFS($C$4:$C$303,C24,$D$4:$D$303,D24))</f>
        <v/>
      </c>
    </row>
    <row r="25">
      <c r="A25" s="11" t="n"/>
      <c r="B25" s="4" t="n"/>
      <c r="C25" s="4" t="n"/>
      <c r="D25" s="4" t="n"/>
      <c r="E25" s="4" t="n"/>
      <c r="F25" s="4" t="n"/>
      <c r="G25" s="4" t="n"/>
      <c r="H25" s="4" t="n"/>
      <c r="I25" s="4" t="n"/>
      <c r="J25" s="21">
        <f>IF(OR(C25="",D25=""),"",COUNTIFS($C$4:$C$303,C25,$D$4:$D$303,D25))</f>
        <v/>
      </c>
    </row>
    <row r="26">
      <c r="A26" s="11" t="n"/>
      <c r="B26" s="4" t="n"/>
      <c r="C26" s="4" t="n"/>
      <c r="D26" s="4" t="n"/>
      <c r="E26" s="4" t="n"/>
      <c r="F26" s="4" t="n"/>
      <c r="G26" s="4" t="n"/>
      <c r="H26" s="4" t="n"/>
      <c r="I26" s="4" t="n"/>
      <c r="J26" s="21">
        <f>IF(OR(C26="",D26=""),"",COUNTIFS($C$4:$C$303,C26,$D$4:$D$303,D26))</f>
        <v/>
      </c>
    </row>
    <row r="27">
      <c r="A27" s="11" t="n"/>
      <c r="B27" s="4" t="n"/>
      <c r="C27" s="4" t="n"/>
      <c r="D27" s="4" t="n"/>
      <c r="E27" s="4" t="n"/>
      <c r="F27" s="4" t="n"/>
      <c r="G27" s="4" t="n"/>
      <c r="H27" s="4" t="n"/>
      <c r="I27" s="4" t="n"/>
      <c r="J27" s="21">
        <f>IF(OR(C27="",D27=""),"",COUNTIFS($C$4:$C$303,C27,$D$4:$D$303,D27))</f>
        <v/>
      </c>
    </row>
    <row r="28">
      <c r="A28" s="11" t="n"/>
      <c r="B28" s="4" t="n"/>
      <c r="C28" s="4" t="n"/>
      <c r="D28" s="4" t="n"/>
      <c r="E28" s="4" t="n"/>
      <c r="F28" s="4" t="n"/>
      <c r="G28" s="4" t="n"/>
      <c r="H28" s="4" t="n"/>
      <c r="I28" s="4" t="n"/>
      <c r="J28" s="21">
        <f>IF(OR(C28="",D28=""),"",COUNTIFS($C$4:$C$303,C28,$D$4:$D$303,D28))</f>
        <v/>
      </c>
    </row>
    <row r="29">
      <c r="A29" s="11" t="n"/>
      <c r="B29" s="4" t="n"/>
      <c r="C29" s="4" t="n"/>
      <c r="D29" s="4" t="n"/>
      <c r="E29" s="4" t="n"/>
      <c r="F29" s="4" t="n"/>
      <c r="G29" s="4" t="n"/>
      <c r="H29" s="4" t="n"/>
      <c r="I29" s="4" t="n"/>
      <c r="J29" s="21">
        <f>IF(OR(C29="",D29=""),"",COUNTIFS($C$4:$C$303,C29,$D$4:$D$303,D29))</f>
        <v/>
      </c>
    </row>
    <row r="30">
      <c r="A30" s="11" t="n"/>
      <c r="B30" s="4" t="n"/>
      <c r="C30" s="4" t="n"/>
      <c r="D30" s="4" t="n"/>
      <c r="E30" s="4" t="n"/>
      <c r="F30" s="4" t="n"/>
      <c r="G30" s="4" t="n"/>
      <c r="H30" s="4" t="n"/>
      <c r="I30" s="4" t="n"/>
      <c r="J30" s="21">
        <f>IF(OR(C30="",D30=""),"",COUNTIFS($C$4:$C$303,C30,$D$4:$D$303,D30))</f>
        <v/>
      </c>
    </row>
    <row r="31">
      <c r="A31" s="11" t="n"/>
      <c r="B31" s="4" t="n"/>
      <c r="C31" s="4" t="n"/>
      <c r="D31" s="4" t="n"/>
      <c r="E31" s="4" t="n"/>
      <c r="F31" s="4" t="n"/>
      <c r="G31" s="4" t="n"/>
      <c r="H31" s="4" t="n"/>
      <c r="I31" s="4" t="n"/>
      <c r="J31" s="21">
        <f>IF(OR(C31="",D31=""),"",COUNTIFS($C$4:$C$303,C31,$D$4:$D$303,D31))</f>
        <v/>
      </c>
    </row>
    <row r="32">
      <c r="A32" s="11" t="n"/>
      <c r="B32" s="4" t="n"/>
      <c r="C32" s="4" t="n"/>
      <c r="D32" s="4" t="n"/>
      <c r="E32" s="4" t="n"/>
      <c r="F32" s="4" t="n"/>
      <c r="G32" s="4" t="n"/>
      <c r="H32" s="4" t="n"/>
      <c r="I32" s="4" t="n"/>
      <c r="J32" s="21">
        <f>IF(OR(C32="",D32=""),"",COUNTIFS($C$4:$C$303,C32,$D$4:$D$303,D32))</f>
        <v/>
      </c>
    </row>
    <row r="33">
      <c r="A33" s="11" t="n"/>
      <c r="B33" s="4" t="n"/>
      <c r="C33" s="4" t="n"/>
      <c r="D33" s="4" t="n"/>
      <c r="E33" s="4" t="n"/>
      <c r="F33" s="4" t="n"/>
      <c r="G33" s="4" t="n"/>
      <c r="H33" s="4" t="n"/>
      <c r="I33" s="4" t="n"/>
      <c r="J33" s="21">
        <f>IF(OR(C33="",D33=""),"",COUNTIFS($C$4:$C$303,C33,$D$4:$D$303,D33))</f>
        <v/>
      </c>
    </row>
    <row r="34">
      <c r="A34" s="11" t="n"/>
      <c r="B34" s="4" t="n"/>
      <c r="C34" s="4" t="n"/>
      <c r="D34" s="4" t="n"/>
      <c r="E34" s="4" t="n"/>
      <c r="F34" s="4" t="n"/>
      <c r="G34" s="4" t="n"/>
      <c r="H34" s="4" t="n"/>
      <c r="I34" s="4" t="n"/>
      <c r="J34" s="21">
        <f>IF(OR(C34="",D34=""),"",COUNTIFS($C$4:$C$303,C34,$D$4:$D$303,D34))</f>
        <v/>
      </c>
    </row>
    <row r="35">
      <c r="A35" s="11" t="n"/>
      <c r="B35" s="4" t="n"/>
      <c r="C35" s="4" t="n"/>
      <c r="D35" s="4" t="n"/>
      <c r="E35" s="4" t="n"/>
      <c r="F35" s="4" t="n"/>
      <c r="G35" s="4" t="n"/>
      <c r="H35" s="4" t="n"/>
      <c r="I35" s="4" t="n"/>
      <c r="J35" s="21">
        <f>IF(OR(C35="",D35=""),"",COUNTIFS($C$4:$C$303,C35,$D$4:$D$303,D35))</f>
        <v/>
      </c>
    </row>
    <row r="36">
      <c r="A36" s="11" t="n"/>
      <c r="B36" s="4" t="n"/>
      <c r="C36" s="4" t="n"/>
      <c r="D36" s="4" t="n"/>
      <c r="E36" s="4" t="n"/>
      <c r="F36" s="4" t="n"/>
      <c r="G36" s="4" t="n"/>
      <c r="H36" s="4" t="n"/>
      <c r="I36" s="4" t="n"/>
      <c r="J36" s="21">
        <f>IF(OR(C36="",D36=""),"",COUNTIFS($C$4:$C$303,C36,$D$4:$D$303,D36))</f>
        <v/>
      </c>
    </row>
    <row r="37">
      <c r="A37" s="11" t="n"/>
      <c r="B37" s="4" t="n"/>
      <c r="C37" s="4" t="n"/>
      <c r="D37" s="4" t="n"/>
      <c r="E37" s="4" t="n"/>
      <c r="F37" s="4" t="n"/>
      <c r="G37" s="4" t="n"/>
      <c r="H37" s="4" t="n"/>
      <c r="I37" s="4" t="n"/>
      <c r="J37" s="21">
        <f>IF(OR(C37="",D37=""),"",COUNTIFS($C$4:$C$303,C37,$D$4:$D$303,D37))</f>
        <v/>
      </c>
    </row>
    <row r="38">
      <c r="A38" s="11" t="n"/>
      <c r="B38" s="4" t="n"/>
      <c r="C38" s="4" t="n"/>
      <c r="D38" s="4" t="n"/>
      <c r="E38" s="4" t="n"/>
      <c r="F38" s="4" t="n"/>
      <c r="G38" s="4" t="n"/>
      <c r="H38" s="4" t="n"/>
      <c r="I38" s="4" t="n"/>
      <c r="J38" s="21">
        <f>IF(OR(C38="",D38=""),"",COUNTIFS($C$4:$C$303,C38,$D$4:$D$303,D38))</f>
        <v/>
      </c>
    </row>
    <row r="39">
      <c r="A39" s="11" t="n"/>
      <c r="B39" s="4" t="n"/>
      <c r="C39" s="4" t="n"/>
      <c r="D39" s="4" t="n"/>
      <c r="E39" s="4" t="n"/>
      <c r="F39" s="4" t="n"/>
      <c r="G39" s="4" t="n"/>
      <c r="H39" s="4" t="n"/>
      <c r="I39" s="4" t="n"/>
      <c r="J39" s="21">
        <f>IF(OR(C39="",D39=""),"",COUNTIFS($C$4:$C$303,C39,$D$4:$D$303,D39))</f>
        <v/>
      </c>
    </row>
    <row r="40">
      <c r="A40" s="11" t="n"/>
      <c r="B40" s="4" t="n"/>
      <c r="C40" s="4" t="n"/>
      <c r="D40" s="4" t="n"/>
      <c r="E40" s="4" t="n"/>
      <c r="F40" s="4" t="n"/>
      <c r="G40" s="4" t="n"/>
      <c r="H40" s="4" t="n"/>
      <c r="I40" s="4" t="n"/>
      <c r="J40" s="21">
        <f>IF(OR(C40="",D40=""),"",COUNTIFS($C$4:$C$303,C40,$D$4:$D$303,D40))</f>
        <v/>
      </c>
    </row>
    <row r="41">
      <c r="A41" s="11" t="n"/>
      <c r="B41" s="4" t="n"/>
      <c r="C41" s="4" t="n"/>
      <c r="D41" s="4" t="n"/>
      <c r="E41" s="4" t="n"/>
      <c r="F41" s="4" t="n"/>
      <c r="G41" s="4" t="n"/>
      <c r="H41" s="4" t="n"/>
      <c r="I41" s="4" t="n"/>
      <c r="J41" s="21">
        <f>IF(OR(C41="",D41=""),"",COUNTIFS($C$4:$C$303,C41,$D$4:$D$303,D41))</f>
        <v/>
      </c>
    </row>
    <row r="42">
      <c r="A42" s="11" t="n"/>
      <c r="B42" s="4" t="n"/>
      <c r="C42" s="4" t="n"/>
      <c r="D42" s="4" t="n"/>
      <c r="E42" s="4" t="n"/>
      <c r="F42" s="4" t="n"/>
      <c r="G42" s="4" t="n"/>
      <c r="H42" s="4" t="n"/>
      <c r="I42" s="4" t="n"/>
      <c r="J42" s="21">
        <f>IF(OR(C42="",D42=""),"",COUNTIFS($C$4:$C$303,C42,$D$4:$D$303,D42))</f>
        <v/>
      </c>
    </row>
    <row r="43">
      <c r="A43" s="11" t="n"/>
      <c r="B43" s="4" t="n"/>
      <c r="C43" s="4" t="n"/>
      <c r="D43" s="4" t="n"/>
      <c r="E43" s="4" t="n"/>
      <c r="F43" s="4" t="n"/>
      <c r="G43" s="4" t="n"/>
      <c r="H43" s="4" t="n"/>
      <c r="I43" s="4" t="n"/>
      <c r="J43" s="21">
        <f>IF(OR(C43="",D43=""),"",COUNTIFS($C$4:$C$303,C43,$D$4:$D$303,D43))</f>
        <v/>
      </c>
    </row>
    <row r="44">
      <c r="A44" s="11" t="n"/>
      <c r="B44" s="4" t="n"/>
      <c r="C44" s="4" t="n"/>
      <c r="D44" s="4" t="n"/>
      <c r="E44" s="4" t="n"/>
      <c r="F44" s="4" t="n"/>
      <c r="G44" s="4" t="n"/>
      <c r="H44" s="4" t="n"/>
      <c r="I44" s="4" t="n"/>
      <c r="J44" s="21">
        <f>IF(OR(C44="",D44=""),"",COUNTIFS($C$4:$C$303,C44,$D$4:$D$303,D44))</f>
        <v/>
      </c>
    </row>
    <row r="45">
      <c r="A45" s="11" t="n"/>
      <c r="B45" s="4" t="n"/>
      <c r="C45" s="4" t="n"/>
      <c r="D45" s="4" t="n"/>
      <c r="E45" s="4" t="n"/>
      <c r="F45" s="4" t="n"/>
      <c r="G45" s="4" t="n"/>
      <c r="H45" s="4" t="n"/>
      <c r="I45" s="4" t="n"/>
      <c r="J45" s="21">
        <f>IF(OR(C45="",D45=""),"",COUNTIFS($C$4:$C$303,C45,$D$4:$D$303,D45))</f>
        <v/>
      </c>
    </row>
    <row r="46">
      <c r="A46" s="11" t="n"/>
      <c r="B46" s="4" t="n"/>
      <c r="C46" s="4" t="n"/>
      <c r="D46" s="4" t="n"/>
      <c r="E46" s="4" t="n"/>
      <c r="F46" s="4" t="n"/>
      <c r="G46" s="4" t="n"/>
      <c r="H46" s="4" t="n"/>
      <c r="I46" s="4" t="n"/>
      <c r="J46" s="21">
        <f>IF(OR(C46="",D46=""),"",COUNTIFS($C$4:$C$303,C46,$D$4:$D$303,D46))</f>
        <v/>
      </c>
    </row>
    <row r="47">
      <c r="A47" s="11" t="n"/>
      <c r="B47" s="4" t="n"/>
      <c r="C47" s="4" t="n"/>
      <c r="D47" s="4" t="n"/>
      <c r="E47" s="4" t="n"/>
      <c r="F47" s="4" t="n"/>
      <c r="G47" s="4" t="n"/>
      <c r="H47" s="4" t="n"/>
      <c r="I47" s="4" t="n"/>
      <c r="J47" s="21">
        <f>IF(OR(C47="",D47=""),"",COUNTIFS($C$4:$C$303,C47,$D$4:$D$303,D47))</f>
        <v/>
      </c>
    </row>
    <row r="48">
      <c r="A48" s="11" t="n"/>
      <c r="B48" s="4" t="n"/>
      <c r="C48" s="4" t="n"/>
      <c r="D48" s="4" t="n"/>
      <c r="E48" s="4" t="n"/>
      <c r="F48" s="4" t="n"/>
      <c r="G48" s="4" t="n"/>
      <c r="H48" s="4" t="n"/>
      <c r="I48" s="4" t="n"/>
      <c r="J48" s="21">
        <f>IF(OR(C48="",D48=""),"",COUNTIFS($C$4:$C$303,C48,$D$4:$D$303,D48))</f>
        <v/>
      </c>
    </row>
    <row r="49">
      <c r="A49" s="11" t="n"/>
      <c r="B49" s="4" t="n"/>
      <c r="C49" s="4" t="n"/>
      <c r="D49" s="4" t="n"/>
      <c r="E49" s="4" t="n"/>
      <c r="F49" s="4" t="n"/>
      <c r="G49" s="4" t="n"/>
      <c r="H49" s="4" t="n"/>
      <c r="I49" s="4" t="n"/>
      <c r="J49" s="21">
        <f>IF(OR(C49="",D49=""),"",COUNTIFS($C$4:$C$303,C49,$D$4:$D$303,D49))</f>
        <v/>
      </c>
    </row>
    <row r="50">
      <c r="A50" s="11" t="n"/>
      <c r="B50" s="4" t="n"/>
      <c r="C50" s="4" t="n"/>
      <c r="D50" s="4" t="n"/>
      <c r="E50" s="4" t="n"/>
      <c r="F50" s="4" t="n"/>
      <c r="G50" s="4" t="n"/>
      <c r="H50" s="4" t="n"/>
      <c r="I50" s="4" t="n"/>
      <c r="J50" s="21">
        <f>IF(OR(C50="",D50=""),"",COUNTIFS($C$4:$C$303,C50,$D$4:$D$303,D50))</f>
        <v/>
      </c>
    </row>
    <row r="51">
      <c r="A51" s="11" t="n"/>
      <c r="B51" s="4" t="n"/>
      <c r="C51" s="4" t="n"/>
      <c r="D51" s="4" t="n"/>
      <c r="E51" s="4" t="n"/>
      <c r="F51" s="4" t="n"/>
      <c r="G51" s="4" t="n"/>
      <c r="H51" s="4" t="n"/>
      <c r="I51" s="4" t="n"/>
      <c r="J51" s="21">
        <f>IF(OR(C51="",D51=""),"",COUNTIFS($C$4:$C$303,C51,$D$4:$D$303,D51))</f>
        <v/>
      </c>
    </row>
    <row r="52">
      <c r="A52" s="11" t="n"/>
      <c r="B52" s="4" t="n"/>
      <c r="C52" s="4" t="n"/>
      <c r="D52" s="4" t="n"/>
      <c r="E52" s="4" t="n"/>
      <c r="F52" s="4" t="n"/>
      <c r="G52" s="4" t="n"/>
      <c r="H52" s="4" t="n"/>
      <c r="I52" s="4" t="n"/>
      <c r="J52" s="21">
        <f>IF(OR(C52="",D52=""),"",COUNTIFS($C$4:$C$303,C52,$D$4:$D$303,D52))</f>
        <v/>
      </c>
    </row>
    <row r="53">
      <c r="A53" s="11" t="n"/>
      <c r="B53" s="4" t="n"/>
      <c r="C53" s="4" t="n"/>
      <c r="D53" s="4" t="n"/>
      <c r="E53" s="4" t="n"/>
      <c r="F53" s="4" t="n"/>
      <c r="G53" s="4" t="n"/>
      <c r="H53" s="4" t="n"/>
      <c r="I53" s="4" t="n"/>
      <c r="J53" s="21">
        <f>IF(OR(C53="",D53=""),"",COUNTIFS($C$4:$C$303,C53,$D$4:$D$303,D53))</f>
        <v/>
      </c>
    </row>
    <row r="54">
      <c r="A54" s="11" t="n"/>
      <c r="B54" s="4" t="n"/>
      <c r="C54" s="4" t="n"/>
      <c r="D54" s="4" t="n"/>
      <c r="E54" s="4" t="n"/>
      <c r="F54" s="4" t="n"/>
      <c r="G54" s="4" t="n"/>
      <c r="H54" s="4" t="n"/>
      <c r="I54" s="4" t="n"/>
      <c r="J54" s="21">
        <f>IF(OR(C54="",D54=""),"",COUNTIFS($C$4:$C$303,C54,$D$4:$D$303,D54))</f>
        <v/>
      </c>
    </row>
    <row r="55">
      <c r="A55" s="11" t="n"/>
      <c r="B55" s="4" t="n"/>
      <c r="C55" s="4" t="n"/>
      <c r="D55" s="4" t="n"/>
      <c r="E55" s="4" t="n"/>
      <c r="F55" s="4" t="n"/>
      <c r="G55" s="4" t="n"/>
      <c r="H55" s="4" t="n"/>
      <c r="I55" s="4" t="n"/>
      <c r="J55" s="21">
        <f>IF(OR(C55="",D55=""),"",COUNTIFS($C$4:$C$303,C55,$D$4:$D$303,D55))</f>
        <v/>
      </c>
    </row>
    <row r="56">
      <c r="A56" s="11" t="n"/>
      <c r="B56" s="4" t="n"/>
      <c r="C56" s="4" t="n"/>
      <c r="D56" s="4" t="n"/>
      <c r="E56" s="4" t="n"/>
      <c r="F56" s="4" t="n"/>
      <c r="G56" s="4" t="n"/>
      <c r="H56" s="4" t="n"/>
      <c r="I56" s="4" t="n"/>
      <c r="J56" s="21">
        <f>IF(OR(C56="",D56=""),"",COUNTIFS($C$4:$C$303,C56,$D$4:$D$303,D56))</f>
        <v/>
      </c>
    </row>
    <row r="57">
      <c r="A57" s="11" t="n"/>
      <c r="B57" s="4" t="n"/>
      <c r="C57" s="4" t="n"/>
      <c r="D57" s="4" t="n"/>
      <c r="E57" s="4" t="n"/>
      <c r="F57" s="4" t="n"/>
      <c r="G57" s="4" t="n"/>
      <c r="H57" s="4" t="n"/>
      <c r="I57" s="4" t="n"/>
      <c r="J57" s="21">
        <f>IF(OR(C57="",D57=""),"",COUNTIFS($C$4:$C$303,C57,$D$4:$D$303,D57))</f>
        <v/>
      </c>
    </row>
    <row r="58">
      <c r="A58" s="11" t="n"/>
      <c r="B58" s="4" t="n"/>
      <c r="C58" s="4" t="n"/>
      <c r="D58" s="4" t="n"/>
      <c r="E58" s="4" t="n"/>
      <c r="F58" s="4" t="n"/>
      <c r="G58" s="4" t="n"/>
      <c r="H58" s="4" t="n"/>
      <c r="I58" s="4" t="n"/>
      <c r="J58" s="21">
        <f>IF(OR(C58="",D58=""),"",COUNTIFS($C$4:$C$303,C58,$D$4:$D$303,D58))</f>
        <v/>
      </c>
    </row>
    <row r="59">
      <c r="A59" s="11" t="n"/>
      <c r="B59" s="4" t="n"/>
      <c r="C59" s="4" t="n"/>
      <c r="D59" s="4" t="n"/>
      <c r="E59" s="4" t="n"/>
      <c r="F59" s="4" t="n"/>
      <c r="G59" s="4" t="n"/>
      <c r="H59" s="4" t="n"/>
      <c r="I59" s="4" t="n"/>
      <c r="J59" s="21">
        <f>IF(OR(C59="",D59=""),"",COUNTIFS($C$4:$C$303,C59,$D$4:$D$303,D59))</f>
        <v/>
      </c>
    </row>
    <row r="60">
      <c r="A60" s="11" t="n"/>
      <c r="B60" s="4" t="n"/>
      <c r="C60" s="4" t="n"/>
      <c r="D60" s="4" t="n"/>
      <c r="E60" s="4" t="n"/>
      <c r="F60" s="4" t="n"/>
      <c r="G60" s="4" t="n"/>
      <c r="H60" s="4" t="n"/>
      <c r="I60" s="4" t="n"/>
      <c r="J60" s="21">
        <f>IF(OR(C60="",D60=""),"",COUNTIFS($C$4:$C$303,C60,$D$4:$D$303,D60))</f>
        <v/>
      </c>
    </row>
    <row r="61">
      <c r="A61" s="11" t="n"/>
      <c r="B61" s="4" t="n"/>
      <c r="C61" s="4" t="n"/>
      <c r="D61" s="4" t="n"/>
      <c r="E61" s="4" t="n"/>
      <c r="F61" s="4" t="n"/>
      <c r="G61" s="4" t="n"/>
      <c r="H61" s="4" t="n"/>
      <c r="I61" s="4" t="n"/>
      <c r="J61" s="21">
        <f>IF(OR(C61="",D61=""),"",COUNTIFS($C$4:$C$303,C61,$D$4:$D$303,D61))</f>
        <v/>
      </c>
    </row>
    <row r="62">
      <c r="A62" s="11" t="n"/>
      <c r="B62" s="4" t="n"/>
      <c r="C62" s="4" t="n"/>
      <c r="D62" s="4" t="n"/>
      <c r="E62" s="4" t="n"/>
      <c r="F62" s="4" t="n"/>
      <c r="G62" s="4" t="n"/>
      <c r="H62" s="4" t="n"/>
      <c r="I62" s="4" t="n"/>
      <c r="J62" s="21">
        <f>IF(OR(C62="",D62=""),"",COUNTIFS($C$4:$C$303,C62,$D$4:$D$303,D62))</f>
        <v/>
      </c>
    </row>
    <row r="63">
      <c r="A63" s="11" t="n"/>
      <c r="B63" s="4" t="n"/>
      <c r="C63" s="4" t="n"/>
      <c r="D63" s="4" t="n"/>
      <c r="E63" s="4" t="n"/>
      <c r="F63" s="4" t="n"/>
      <c r="G63" s="4" t="n"/>
      <c r="H63" s="4" t="n"/>
      <c r="I63" s="4" t="n"/>
      <c r="J63" s="21">
        <f>IF(OR(C63="",D63=""),"",COUNTIFS($C$4:$C$303,C63,$D$4:$D$303,D63))</f>
        <v/>
      </c>
    </row>
    <row r="64">
      <c r="A64" s="11" t="n"/>
      <c r="B64" s="4" t="n"/>
      <c r="C64" s="4" t="n"/>
      <c r="D64" s="4" t="n"/>
      <c r="E64" s="4" t="n"/>
      <c r="F64" s="4" t="n"/>
      <c r="G64" s="4" t="n"/>
      <c r="H64" s="4" t="n"/>
      <c r="I64" s="4" t="n"/>
      <c r="J64" s="21">
        <f>IF(OR(C64="",D64=""),"",COUNTIFS($C$4:$C$303,C64,$D$4:$D$303,D64))</f>
        <v/>
      </c>
    </row>
    <row r="65">
      <c r="A65" s="11" t="n"/>
      <c r="B65" s="4" t="n"/>
      <c r="C65" s="4" t="n"/>
      <c r="D65" s="4" t="n"/>
      <c r="E65" s="4" t="n"/>
      <c r="F65" s="4" t="n"/>
      <c r="G65" s="4" t="n"/>
      <c r="H65" s="4" t="n"/>
      <c r="I65" s="4" t="n"/>
      <c r="J65" s="21">
        <f>IF(OR(C65="",D65=""),"",COUNTIFS($C$4:$C$303,C65,$D$4:$D$303,D65))</f>
        <v/>
      </c>
    </row>
    <row r="66">
      <c r="A66" s="11" t="n"/>
      <c r="B66" s="4" t="n"/>
      <c r="C66" s="4" t="n"/>
      <c r="D66" s="4" t="n"/>
      <c r="E66" s="4" t="n"/>
      <c r="F66" s="4" t="n"/>
      <c r="G66" s="4" t="n"/>
      <c r="H66" s="4" t="n"/>
      <c r="I66" s="4" t="n"/>
      <c r="J66" s="21">
        <f>IF(OR(C66="",D66=""),"",COUNTIFS($C$4:$C$303,C66,$D$4:$D$303,D66))</f>
        <v/>
      </c>
    </row>
    <row r="67">
      <c r="A67" s="11" t="n"/>
      <c r="B67" s="4" t="n"/>
      <c r="C67" s="4" t="n"/>
      <c r="D67" s="4" t="n"/>
      <c r="E67" s="4" t="n"/>
      <c r="F67" s="4" t="n"/>
      <c r="G67" s="4" t="n"/>
      <c r="H67" s="4" t="n"/>
      <c r="I67" s="4" t="n"/>
      <c r="J67" s="21">
        <f>IF(OR(C67="",D67=""),"",COUNTIFS($C$4:$C$303,C67,$D$4:$D$303,D67))</f>
        <v/>
      </c>
    </row>
    <row r="68">
      <c r="A68" s="11" t="n"/>
      <c r="B68" s="4" t="n"/>
      <c r="C68" s="4" t="n"/>
      <c r="D68" s="4" t="n"/>
      <c r="E68" s="4" t="n"/>
      <c r="F68" s="4" t="n"/>
      <c r="G68" s="4" t="n"/>
      <c r="H68" s="4" t="n"/>
      <c r="I68" s="4" t="n"/>
      <c r="J68" s="21">
        <f>IF(OR(C68="",D68=""),"",COUNTIFS($C$4:$C$303,C68,$D$4:$D$303,D68))</f>
        <v/>
      </c>
    </row>
    <row r="69">
      <c r="A69" s="11" t="n"/>
      <c r="B69" s="4" t="n"/>
      <c r="C69" s="4" t="n"/>
      <c r="D69" s="4" t="n"/>
      <c r="E69" s="4" t="n"/>
      <c r="F69" s="4" t="n"/>
      <c r="G69" s="4" t="n"/>
      <c r="H69" s="4" t="n"/>
      <c r="I69" s="4" t="n"/>
      <c r="J69" s="21">
        <f>IF(OR(C69="",D69=""),"",COUNTIFS($C$4:$C$303,C69,$D$4:$D$303,D69))</f>
        <v/>
      </c>
    </row>
    <row r="70">
      <c r="A70" s="11" t="n"/>
      <c r="B70" s="4" t="n"/>
      <c r="C70" s="4" t="n"/>
      <c r="D70" s="4" t="n"/>
      <c r="E70" s="4" t="n"/>
      <c r="F70" s="4" t="n"/>
      <c r="G70" s="4" t="n"/>
      <c r="H70" s="4" t="n"/>
      <c r="I70" s="4" t="n"/>
      <c r="J70" s="21">
        <f>IF(OR(C70="",D70=""),"",COUNTIFS($C$4:$C$303,C70,$D$4:$D$303,D70))</f>
        <v/>
      </c>
    </row>
    <row r="71">
      <c r="A71" s="11" t="n"/>
      <c r="B71" s="4" t="n"/>
      <c r="C71" s="4" t="n"/>
      <c r="D71" s="4" t="n"/>
      <c r="E71" s="4" t="n"/>
      <c r="F71" s="4" t="n"/>
      <c r="G71" s="4" t="n"/>
      <c r="H71" s="4" t="n"/>
      <c r="I71" s="4" t="n"/>
      <c r="J71" s="21">
        <f>IF(OR(C71="",D71=""),"",COUNTIFS($C$4:$C$303,C71,$D$4:$D$303,D71))</f>
        <v/>
      </c>
    </row>
    <row r="72">
      <c r="A72" s="11" t="n"/>
      <c r="B72" s="4" t="n"/>
      <c r="C72" s="4" t="n"/>
      <c r="D72" s="4" t="n"/>
      <c r="E72" s="4" t="n"/>
      <c r="F72" s="4" t="n"/>
      <c r="G72" s="4" t="n"/>
      <c r="H72" s="4" t="n"/>
      <c r="I72" s="4" t="n"/>
      <c r="J72" s="21">
        <f>IF(OR(C72="",D72=""),"",COUNTIFS($C$4:$C$303,C72,$D$4:$D$303,D72))</f>
        <v/>
      </c>
    </row>
    <row r="73">
      <c r="A73" s="11" t="n"/>
      <c r="B73" s="4" t="n"/>
      <c r="C73" s="4" t="n"/>
      <c r="D73" s="4" t="n"/>
      <c r="E73" s="4" t="n"/>
      <c r="F73" s="4" t="n"/>
      <c r="G73" s="4" t="n"/>
      <c r="H73" s="4" t="n"/>
      <c r="I73" s="4" t="n"/>
      <c r="J73" s="21">
        <f>IF(OR(C73="",D73=""),"",COUNTIFS($C$4:$C$303,C73,$D$4:$D$303,D73))</f>
        <v/>
      </c>
    </row>
    <row r="74">
      <c r="A74" s="11" t="n"/>
      <c r="B74" s="4" t="n"/>
      <c r="C74" s="4" t="n"/>
      <c r="D74" s="4" t="n"/>
      <c r="E74" s="4" t="n"/>
      <c r="F74" s="4" t="n"/>
      <c r="G74" s="4" t="n"/>
      <c r="H74" s="4" t="n"/>
      <c r="I74" s="4" t="n"/>
      <c r="J74" s="21">
        <f>IF(OR(C74="",D74=""),"",COUNTIFS($C$4:$C$303,C74,$D$4:$D$303,D74))</f>
        <v/>
      </c>
    </row>
    <row r="75">
      <c r="A75" s="11" t="n"/>
      <c r="B75" s="4" t="n"/>
      <c r="C75" s="4" t="n"/>
      <c r="D75" s="4" t="n"/>
      <c r="E75" s="4" t="n"/>
      <c r="F75" s="4" t="n"/>
      <c r="G75" s="4" t="n"/>
      <c r="H75" s="4" t="n"/>
      <c r="I75" s="4" t="n"/>
      <c r="J75" s="21">
        <f>IF(OR(C75="",D75=""),"",COUNTIFS($C$4:$C$303,C75,$D$4:$D$303,D75))</f>
        <v/>
      </c>
    </row>
    <row r="76">
      <c r="A76" s="11" t="n"/>
      <c r="B76" s="4" t="n"/>
      <c r="C76" s="4" t="n"/>
      <c r="D76" s="4" t="n"/>
      <c r="E76" s="4" t="n"/>
      <c r="F76" s="4" t="n"/>
      <c r="G76" s="4" t="n"/>
      <c r="H76" s="4" t="n"/>
      <c r="I76" s="4" t="n"/>
      <c r="J76" s="21">
        <f>IF(OR(C76="",D76=""),"",COUNTIFS($C$4:$C$303,C76,$D$4:$D$303,D76))</f>
        <v/>
      </c>
    </row>
    <row r="77">
      <c r="A77" s="11" t="n"/>
      <c r="B77" s="4" t="n"/>
      <c r="C77" s="4" t="n"/>
      <c r="D77" s="4" t="n"/>
      <c r="E77" s="4" t="n"/>
      <c r="F77" s="4" t="n"/>
      <c r="G77" s="4" t="n"/>
      <c r="H77" s="4" t="n"/>
      <c r="I77" s="4" t="n"/>
      <c r="J77" s="21">
        <f>IF(OR(C77="",D77=""),"",COUNTIFS($C$4:$C$303,C77,$D$4:$D$303,D77))</f>
        <v/>
      </c>
    </row>
    <row r="78">
      <c r="A78" s="11" t="n"/>
      <c r="B78" s="4" t="n"/>
      <c r="C78" s="4" t="n"/>
      <c r="D78" s="4" t="n"/>
      <c r="E78" s="4" t="n"/>
      <c r="F78" s="4" t="n"/>
      <c r="G78" s="4" t="n"/>
      <c r="H78" s="4" t="n"/>
      <c r="I78" s="4" t="n"/>
      <c r="J78" s="21">
        <f>IF(OR(C78="",D78=""),"",COUNTIFS($C$4:$C$303,C78,$D$4:$D$303,D78))</f>
        <v/>
      </c>
    </row>
    <row r="79">
      <c r="A79" s="11" t="n"/>
      <c r="B79" s="4" t="n"/>
      <c r="C79" s="4" t="n"/>
      <c r="D79" s="4" t="n"/>
      <c r="E79" s="4" t="n"/>
      <c r="F79" s="4" t="n"/>
      <c r="G79" s="4" t="n"/>
      <c r="H79" s="4" t="n"/>
      <c r="I79" s="4" t="n"/>
      <c r="J79" s="21">
        <f>IF(OR(C79="",D79=""),"",COUNTIFS($C$4:$C$303,C79,$D$4:$D$303,D79))</f>
        <v/>
      </c>
    </row>
    <row r="80">
      <c r="A80" s="11" t="n"/>
      <c r="B80" s="4" t="n"/>
      <c r="C80" s="4" t="n"/>
      <c r="D80" s="4" t="n"/>
      <c r="E80" s="4" t="n"/>
      <c r="F80" s="4" t="n"/>
      <c r="G80" s="4" t="n"/>
      <c r="H80" s="4" t="n"/>
      <c r="I80" s="4" t="n"/>
      <c r="J80" s="21">
        <f>IF(OR(C80="",D80=""),"",COUNTIFS($C$4:$C$303,C80,$D$4:$D$303,D80))</f>
        <v/>
      </c>
    </row>
    <row r="81">
      <c r="A81" s="11" t="n"/>
      <c r="B81" s="4" t="n"/>
      <c r="C81" s="4" t="n"/>
      <c r="D81" s="4" t="n"/>
      <c r="E81" s="4" t="n"/>
      <c r="F81" s="4" t="n"/>
      <c r="G81" s="4" t="n"/>
      <c r="H81" s="4" t="n"/>
      <c r="I81" s="4" t="n"/>
      <c r="J81" s="21">
        <f>IF(OR(C81="",D81=""),"",COUNTIFS($C$4:$C$303,C81,$D$4:$D$303,D81))</f>
        <v/>
      </c>
    </row>
    <row r="82">
      <c r="A82" s="11" t="n"/>
      <c r="B82" s="4" t="n"/>
      <c r="C82" s="4" t="n"/>
      <c r="D82" s="4" t="n"/>
      <c r="E82" s="4" t="n"/>
      <c r="F82" s="4" t="n"/>
      <c r="G82" s="4" t="n"/>
      <c r="H82" s="4" t="n"/>
      <c r="I82" s="4" t="n"/>
      <c r="J82" s="21">
        <f>IF(OR(C82="",D82=""),"",COUNTIFS($C$4:$C$303,C82,$D$4:$D$303,D82))</f>
        <v/>
      </c>
    </row>
    <row r="83">
      <c r="A83" s="11" t="n"/>
      <c r="B83" s="4" t="n"/>
      <c r="C83" s="4" t="n"/>
      <c r="D83" s="4" t="n"/>
      <c r="E83" s="4" t="n"/>
      <c r="F83" s="4" t="n"/>
      <c r="G83" s="4" t="n"/>
      <c r="H83" s="4" t="n"/>
      <c r="I83" s="4" t="n"/>
      <c r="J83" s="21">
        <f>IF(OR(C83="",D83=""),"",COUNTIFS($C$4:$C$303,C83,$D$4:$D$303,D83))</f>
        <v/>
      </c>
    </row>
    <row r="84">
      <c r="A84" s="11" t="n"/>
      <c r="B84" s="4" t="n"/>
      <c r="C84" s="4" t="n"/>
      <c r="D84" s="4" t="n"/>
      <c r="E84" s="4" t="n"/>
      <c r="F84" s="4" t="n"/>
      <c r="G84" s="4" t="n"/>
      <c r="H84" s="4" t="n"/>
      <c r="I84" s="4" t="n"/>
      <c r="J84" s="21">
        <f>IF(OR(C84="",D84=""),"",COUNTIFS($C$4:$C$303,C84,$D$4:$D$303,D84))</f>
        <v/>
      </c>
    </row>
    <row r="85">
      <c r="A85" s="11" t="n"/>
      <c r="B85" s="4" t="n"/>
      <c r="C85" s="4" t="n"/>
      <c r="D85" s="4" t="n"/>
      <c r="E85" s="4" t="n"/>
      <c r="F85" s="4" t="n"/>
      <c r="G85" s="4" t="n"/>
      <c r="H85" s="4" t="n"/>
      <c r="I85" s="4" t="n"/>
      <c r="J85" s="21">
        <f>IF(OR(C85="",D85=""),"",COUNTIFS($C$4:$C$303,C85,$D$4:$D$303,D85))</f>
        <v/>
      </c>
    </row>
    <row r="86">
      <c r="A86" s="11" t="n"/>
      <c r="B86" s="4" t="n"/>
      <c r="C86" s="4" t="n"/>
      <c r="D86" s="4" t="n"/>
      <c r="E86" s="4" t="n"/>
      <c r="F86" s="4" t="n"/>
      <c r="G86" s="4" t="n"/>
      <c r="H86" s="4" t="n"/>
      <c r="I86" s="4" t="n"/>
      <c r="J86" s="21">
        <f>IF(OR(C86="",D86=""),"",COUNTIFS($C$4:$C$303,C86,$D$4:$D$303,D86))</f>
        <v/>
      </c>
    </row>
    <row r="87">
      <c r="A87" s="11" t="n"/>
      <c r="B87" s="4" t="n"/>
      <c r="C87" s="4" t="n"/>
      <c r="D87" s="4" t="n"/>
      <c r="E87" s="4" t="n"/>
      <c r="F87" s="4" t="n"/>
      <c r="G87" s="4" t="n"/>
      <c r="H87" s="4" t="n"/>
      <c r="I87" s="4" t="n"/>
      <c r="J87" s="21">
        <f>IF(OR(C87="",D87=""),"",COUNTIFS($C$4:$C$303,C87,$D$4:$D$303,D87))</f>
        <v/>
      </c>
    </row>
    <row r="88">
      <c r="A88" s="11" t="n"/>
      <c r="B88" s="4" t="n"/>
      <c r="C88" s="4" t="n"/>
      <c r="D88" s="4" t="n"/>
      <c r="E88" s="4" t="n"/>
      <c r="F88" s="4" t="n"/>
      <c r="G88" s="4" t="n"/>
      <c r="H88" s="4" t="n"/>
      <c r="I88" s="4" t="n"/>
      <c r="J88" s="21">
        <f>IF(OR(C88="",D88=""),"",COUNTIFS($C$4:$C$303,C88,$D$4:$D$303,D88))</f>
        <v/>
      </c>
    </row>
    <row r="89">
      <c r="A89" s="11" t="n"/>
      <c r="B89" s="4" t="n"/>
      <c r="C89" s="4" t="n"/>
      <c r="D89" s="4" t="n"/>
      <c r="E89" s="4" t="n"/>
      <c r="F89" s="4" t="n"/>
      <c r="G89" s="4" t="n"/>
      <c r="H89" s="4" t="n"/>
      <c r="I89" s="4" t="n"/>
      <c r="J89" s="21">
        <f>IF(OR(C89="",D89=""),"",COUNTIFS($C$4:$C$303,C89,$D$4:$D$303,D89))</f>
        <v/>
      </c>
    </row>
    <row r="90">
      <c r="A90" s="11" t="n"/>
      <c r="B90" s="4" t="n"/>
      <c r="C90" s="4" t="n"/>
      <c r="D90" s="4" t="n"/>
      <c r="E90" s="4" t="n"/>
      <c r="F90" s="4" t="n"/>
      <c r="G90" s="4" t="n"/>
      <c r="H90" s="4" t="n"/>
      <c r="I90" s="4" t="n"/>
      <c r="J90" s="21">
        <f>IF(OR(C90="",D90=""),"",COUNTIFS($C$4:$C$303,C90,$D$4:$D$303,D90))</f>
        <v/>
      </c>
    </row>
    <row r="91">
      <c r="A91" s="11" t="n"/>
      <c r="B91" s="4" t="n"/>
      <c r="C91" s="4" t="n"/>
      <c r="D91" s="4" t="n"/>
      <c r="E91" s="4" t="n"/>
      <c r="F91" s="4" t="n"/>
      <c r="G91" s="4" t="n"/>
      <c r="H91" s="4" t="n"/>
      <c r="I91" s="4" t="n"/>
      <c r="J91" s="21">
        <f>IF(OR(C91="",D91=""),"",COUNTIFS($C$4:$C$303,C91,$D$4:$D$303,D91))</f>
        <v/>
      </c>
    </row>
    <row r="92">
      <c r="A92" s="11" t="n"/>
      <c r="B92" s="4" t="n"/>
      <c r="C92" s="4" t="n"/>
      <c r="D92" s="4" t="n"/>
      <c r="E92" s="4" t="n"/>
      <c r="F92" s="4" t="n"/>
      <c r="G92" s="4" t="n"/>
      <c r="H92" s="4" t="n"/>
      <c r="I92" s="4" t="n"/>
      <c r="J92" s="21">
        <f>IF(OR(C92="",D92=""),"",COUNTIFS($C$4:$C$303,C92,$D$4:$D$303,D92))</f>
        <v/>
      </c>
    </row>
    <row r="93">
      <c r="A93" s="11" t="n"/>
      <c r="B93" s="4" t="n"/>
      <c r="C93" s="4" t="n"/>
      <c r="D93" s="4" t="n"/>
      <c r="E93" s="4" t="n"/>
      <c r="F93" s="4" t="n"/>
      <c r="G93" s="4" t="n"/>
      <c r="H93" s="4" t="n"/>
      <c r="I93" s="4" t="n"/>
      <c r="J93" s="21">
        <f>IF(OR(C93="",D93=""),"",COUNTIFS($C$4:$C$303,C93,$D$4:$D$303,D93))</f>
        <v/>
      </c>
    </row>
    <row r="94">
      <c r="A94" s="11" t="n"/>
      <c r="B94" s="4" t="n"/>
      <c r="C94" s="4" t="n"/>
      <c r="D94" s="4" t="n"/>
      <c r="E94" s="4" t="n"/>
      <c r="F94" s="4" t="n"/>
      <c r="G94" s="4" t="n"/>
      <c r="H94" s="4" t="n"/>
      <c r="I94" s="4" t="n"/>
      <c r="J94" s="21">
        <f>IF(OR(C94="",D94=""),"",COUNTIFS($C$4:$C$303,C94,$D$4:$D$303,D94))</f>
        <v/>
      </c>
    </row>
    <row r="95">
      <c r="A95" s="11" t="n"/>
      <c r="B95" s="4" t="n"/>
      <c r="C95" s="4" t="n"/>
      <c r="D95" s="4" t="n"/>
      <c r="E95" s="4" t="n"/>
      <c r="F95" s="4" t="n"/>
      <c r="G95" s="4" t="n"/>
      <c r="H95" s="4" t="n"/>
      <c r="I95" s="4" t="n"/>
      <c r="J95" s="21">
        <f>IF(OR(C95="",D95=""),"",COUNTIFS($C$4:$C$303,C95,$D$4:$D$303,D95))</f>
        <v/>
      </c>
    </row>
    <row r="96">
      <c r="A96" s="11" t="n"/>
      <c r="B96" s="4" t="n"/>
      <c r="C96" s="4" t="n"/>
      <c r="D96" s="4" t="n"/>
      <c r="E96" s="4" t="n"/>
      <c r="F96" s="4" t="n"/>
      <c r="G96" s="4" t="n"/>
      <c r="H96" s="4" t="n"/>
      <c r="I96" s="4" t="n"/>
      <c r="J96" s="21">
        <f>IF(OR(C96="",D96=""),"",COUNTIFS($C$4:$C$303,C96,$D$4:$D$303,D96))</f>
        <v/>
      </c>
    </row>
    <row r="97">
      <c r="A97" s="11" t="n"/>
      <c r="B97" s="4" t="n"/>
      <c r="C97" s="4" t="n"/>
      <c r="D97" s="4" t="n"/>
      <c r="E97" s="4" t="n"/>
      <c r="F97" s="4" t="n"/>
      <c r="G97" s="4" t="n"/>
      <c r="H97" s="4" t="n"/>
      <c r="I97" s="4" t="n"/>
      <c r="J97" s="21">
        <f>IF(OR(C97="",D97=""),"",COUNTIFS($C$4:$C$303,C97,$D$4:$D$303,D97))</f>
        <v/>
      </c>
    </row>
    <row r="98">
      <c r="A98" s="11" t="n"/>
      <c r="B98" s="4" t="n"/>
      <c r="C98" s="4" t="n"/>
      <c r="D98" s="4" t="n"/>
      <c r="E98" s="4" t="n"/>
      <c r="F98" s="4" t="n"/>
      <c r="G98" s="4" t="n"/>
      <c r="H98" s="4" t="n"/>
      <c r="I98" s="4" t="n"/>
      <c r="J98" s="21">
        <f>IF(OR(C98="",D98=""),"",COUNTIFS($C$4:$C$303,C98,$D$4:$D$303,D98))</f>
        <v/>
      </c>
    </row>
    <row r="99">
      <c r="A99" s="11" t="n"/>
      <c r="B99" s="4" t="n"/>
      <c r="C99" s="4" t="n"/>
      <c r="D99" s="4" t="n"/>
      <c r="E99" s="4" t="n"/>
      <c r="F99" s="4" t="n"/>
      <c r="G99" s="4" t="n"/>
      <c r="H99" s="4" t="n"/>
      <c r="I99" s="4" t="n"/>
      <c r="J99" s="21">
        <f>IF(OR(C99="",D99=""),"",COUNTIFS($C$4:$C$303,C99,$D$4:$D$303,D99))</f>
        <v/>
      </c>
    </row>
    <row r="100">
      <c r="A100" s="11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21">
        <f>IF(OR(C100="",D100=""),"",COUNTIFS($C$4:$C$303,C100,$D$4:$D$303,D100))</f>
        <v/>
      </c>
    </row>
    <row r="101">
      <c r="A101" s="11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21">
        <f>IF(OR(C101="",D101=""),"",COUNTIFS($C$4:$C$303,C101,$D$4:$D$303,D101))</f>
        <v/>
      </c>
    </row>
    <row r="102">
      <c r="A102" s="11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21">
        <f>IF(OR(C102="",D102=""),"",COUNTIFS($C$4:$C$303,C102,$D$4:$D$303,D102))</f>
        <v/>
      </c>
    </row>
    <row r="103">
      <c r="A103" s="11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21">
        <f>IF(OR(C103="",D103=""),"",COUNTIFS($C$4:$C$303,C103,$D$4:$D$303,D103))</f>
        <v/>
      </c>
    </row>
    <row r="104">
      <c r="A104" s="11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21">
        <f>IF(OR(C104="",D104=""),"",COUNTIFS($C$4:$C$303,C104,$D$4:$D$303,D104))</f>
        <v/>
      </c>
    </row>
    <row r="105">
      <c r="A105" s="11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21">
        <f>IF(OR(C105="",D105=""),"",COUNTIFS($C$4:$C$303,C105,$D$4:$D$303,D105))</f>
        <v/>
      </c>
    </row>
    <row r="106">
      <c r="A106" s="11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21">
        <f>IF(OR(C106="",D106=""),"",COUNTIFS($C$4:$C$303,C106,$D$4:$D$303,D106))</f>
        <v/>
      </c>
    </row>
    <row r="107">
      <c r="A107" s="11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21">
        <f>IF(OR(C107="",D107=""),"",COUNTIFS($C$4:$C$303,C107,$D$4:$D$303,D107))</f>
        <v/>
      </c>
    </row>
    <row r="108">
      <c r="A108" s="11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21">
        <f>IF(OR(C108="",D108=""),"",COUNTIFS($C$4:$C$303,C108,$D$4:$D$303,D108))</f>
        <v/>
      </c>
    </row>
    <row r="109">
      <c r="A109" s="11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21">
        <f>IF(OR(C109="",D109=""),"",COUNTIFS($C$4:$C$303,C109,$D$4:$D$303,D109))</f>
        <v/>
      </c>
    </row>
    <row r="110">
      <c r="A110" s="11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21">
        <f>IF(OR(C110="",D110=""),"",COUNTIFS($C$4:$C$303,C110,$D$4:$D$303,D110))</f>
        <v/>
      </c>
    </row>
    <row r="111">
      <c r="A111" s="11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21">
        <f>IF(OR(C111="",D111=""),"",COUNTIFS($C$4:$C$303,C111,$D$4:$D$303,D111))</f>
        <v/>
      </c>
    </row>
    <row r="112">
      <c r="A112" s="11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21">
        <f>IF(OR(C112="",D112=""),"",COUNTIFS($C$4:$C$303,C112,$D$4:$D$303,D112))</f>
        <v/>
      </c>
    </row>
    <row r="113">
      <c r="A113" s="11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21">
        <f>IF(OR(C113="",D113=""),"",COUNTIFS($C$4:$C$303,C113,$D$4:$D$303,D113))</f>
        <v/>
      </c>
    </row>
    <row r="114">
      <c r="A114" s="11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21">
        <f>IF(OR(C114="",D114=""),"",COUNTIFS($C$4:$C$303,C114,$D$4:$D$303,D114))</f>
        <v/>
      </c>
    </row>
    <row r="115">
      <c r="A115" s="11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21">
        <f>IF(OR(C115="",D115=""),"",COUNTIFS($C$4:$C$303,C115,$D$4:$D$303,D115))</f>
        <v/>
      </c>
    </row>
    <row r="116">
      <c r="A116" s="11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21">
        <f>IF(OR(C116="",D116=""),"",COUNTIFS($C$4:$C$303,C116,$D$4:$D$303,D116))</f>
        <v/>
      </c>
    </row>
    <row r="117">
      <c r="A117" s="11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21">
        <f>IF(OR(C117="",D117=""),"",COUNTIFS($C$4:$C$303,C117,$D$4:$D$303,D117))</f>
        <v/>
      </c>
    </row>
    <row r="118">
      <c r="A118" s="11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21">
        <f>IF(OR(C118="",D118=""),"",COUNTIFS($C$4:$C$303,C118,$D$4:$D$303,D118))</f>
        <v/>
      </c>
    </row>
    <row r="119">
      <c r="A119" s="11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21">
        <f>IF(OR(C119="",D119=""),"",COUNTIFS($C$4:$C$303,C119,$D$4:$D$303,D119))</f>
        <v/>
      </c>
    </row>
    <row r="120">
      <c r="A120" s="11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21">
        <f>IF(OR(C120="",D120=""),"",COUNTIFS($C$4:$C$303,C120,$D$4:$D$303,D120))</f>
        <v/>
      </c>
    </row>
    <row r="121">
      <c r="A121" s="11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21">
        <f>IF(OR(C121="",D121=""),"",COUNTIFS($C$4:$C$303,C121,$D$4:$D$303,D121))</f>
        <v/>
      </c>
    </row>
    <row r="122">
      <c r="A122" s="11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21">
        <f>IF(OR(C122="",D122=""),"",COUNTIFS($C$4:$C$303,C122,$D$4:$D$303,D122))</f>
        <v/>
      </c>
    </row>
    <row r="123">
      <c r="A123" s="11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21">
        <f>IF(OR(C123="",D123=""),"",COUNTIFS($C$4:$C$303,C123,$D$4:$D$303,D123))</f>
        <v/>
      </c>
    </row>
    <row r="124">
      <c r="A124" s="11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21">
        <f>IF(OR(C124="",D124=""),"",COUNTIFS($C$4:$C$303,C124,$D$4:$D$303,D124))</f>
        <v/>
      </c>
    </row>
    <row r="125">
      <c r="A125" s="11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21">
        <f>IF(OR(C125="",D125=""),"",COUNTIFS($C$4:$C$303,C125,$D$4:$D$303,D125))</f>
        <v/>
      </c>
    </row>
    <row r="126">
      <c r="A126" s="11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21">
        <f>IF(OR(C126="",D126=""),"",COUNTIFS($C$4:$C$303,C126,$D$4:$D$303,D126))</f>
        <v/>
      </c>
    </row>
    <row r="127">
      <c r="A127" s="11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21">
        <f>IF(OR(C127="",D127=""),"",COUNTIFS($C$4:$C$303,C127,$D$4:$D$303,D127))</f>
        <v/>
      </c>
    </row>
    <row r="128">
      <c r="A128" s="11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21">
        <f>IF(OR(C128="",D128=""),"",COUNTIFS($C$4:$C$303,C128,$D$4:$D$303,D128))</f>
        <v/>
      </c>
    </row>
    <row r="129">
      <c r="A129" s="11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21">
        <f>IF(OR(C129="",D129=""),"",COUNTIFS($C$4:$C$303,C129,$D$4:$D$303,D129))</f>
        <v/>
      </c>
    </row>
    <row r="130">
      <c r="A130" s="11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21">
        <f>IF(OR(C130="",D130=""),"",COUNTIFS($C$4:$C$303,C130,$D$4:$D$303,D130))</f>
        <v/>
      </c>
    </row>
    <row r="131">
      <c r="A131" s="11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21">
        <f>IF(OR(C131="",D131=""),"",COUNTIFS($C$4:$C$303,C131,$D$4:$D$303,D131))</f>
        <v/>
      </c>
    </row>
    <row r="132">
      <c r="A132" s="11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21">
        <f>IF(OR(C132="",D132=""),"",COUNTIFS($C$4:$C$303,C132,$D$4:$D$303,D132))</f>
        <v/>
      </c>
    </row>
    <row r="133">
      <c r="A133" s="11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21">
        <f>IF(OR(C133="",D133=""),"",COUNTIFS($C$4:$C$303,C133,$D$4:$D$303,D133))</f>
        <v/>
      </c>
    </row>
    <row r="134">
      <c r="A134" s="11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21">
        <f>IF(OR(C134="",D134=""),"",COUNTIFS($C$4:$C$303,C134,$D$4:$D$303,D134))</f>
        <v/>
      </c>
    </row>
    <row r="135">
      <c r="A135" s="11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21">
        <f>IF(OR(C135="",D135=""),"",COUNTIFS($C$4:$C$303,C135,$D$4:$D$303,D135))</f>
        <v/>
      </c>
    </row>
    <row r="136">
      <c r="A136" s="11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21">
        <f>IF(OR(C136="",D136=""),"",COUNTIFS($C$4:$C$303,C136,$D$4:$D$303,D136))</f>
        <v/>
      </c>
    </row>
    <row r="137">
      <c r="A137" s="11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21">
        <f>IF(OR(C137="",D137=""),"",COUNTIFS($C$4:$C$303,C137,$D$4:$D$303,D137))</f>
        <v/>
      </c>
    </row>
    <row r="138">
      <c r="A138" s="11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21">
        <f>IF(OR(C138="",D138=""),"",COUNTIFS($C$4:$C$303,C138,$D$4:$D$303,D138))</f>
        <v/>
      </c>
    </row>
    <row r="139">
      <c r="A139" s="11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21">
        <f>IF(OR(C139="",D139=""),"",COUNTIFS($C$4:$C$303,C139,$D$4:$D$303,D139))</f>
        <v/>
      </c>
    </row>
    <row r="140">
      <c r="A140" s="11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21">
        <f>IF(OR(C140="",D140=""),"",COUNTIFS($C$4:$C$303,C140,$D$4:$D$303,D140))</f>
        <v/>
      </c>
    </row>
    <row r="141">
      <c r="A141" s="11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21">
        <f>IF(OR(C141="",D141=""),"",COUNTIFS($C$4:$C$303,C141,$D$4:$D$303,D141))</f>
        <v/>
      </c>
    </row>
    <row r="142">
      <c r="A142" s="11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21">
        <f>IF(OR(C142="",D142=""),"",COUNTIFS($C$4:$C$303,C142,$D$4:$D$303,D142))</f>
        <v/>
      </c>
    </row>
    <row r="143">
      <c r="A143" s="11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21">
        <f>IF(OR(C143="",D143=""),"",COUNTIFS($C$4:$C$303,C143,$D$4:$D$303,D143))</f>
        <v/>
      </c>
    </row>
    <row r="144">
      <c r="A144" s="11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21">
        <f>IF(OR(C144="",D144=""),"",COUNTIFS($C$4:$C$303,C144,$D$4:$D$303,D144))</f>
        <v/>
      </c>
    </row>
    <row r="145">
      <c r="A145" s="11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21">
        <f>IF(OR(C145="",D145=""),"",COUNTIFS($C$4:$C$303,C145,$D$4:$D$303,D145))</f>
        <v/>
      </c>
    </row>
    <row r="146">
      <c r="A146" s="11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21">
        <f>IF(OR(C146="",D146=""),"",COUNTIFS($C$4:$C$303,C146,$D$4:$D$303,D146))</f>
        <v/>
      </c>
    </row>
    <row r="147">
      <c r="A147" s="11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21">
        <f>IF(OR(C147="",D147=""),"",COUNTIFS($C$4:$C$303,C147,$D$4:$D$303,D147))</f>
        <v/>
      </c>
    </row>
    <row r="148">
      <c r="A148" s="11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21">
        <f>IF(OR(C148="",D148=""),"",COUNTIFS($C$4:$C$303,C148,$D$4:$D$303,D148))</f>
        <v/>
      </c>
    </row>
    <row r="149">
      <c r="A149" s="11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21">
        <f>IF(OR(C149="",D149=""),"",COUNTIFS($C$4:$C$303,C149,$D$4:$D$303,D149))</f>
        <v/>
      </c>
    </row>
    <row r="150">
      <c r="A150" s="11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21">
        <f>IF(OR(C150="",D150=""),"",COUNTIFS($C$4:$C$303,C150,$D$4:$D$303,D150))</f>
        <v/>
      </c>
    </row>
    <row r="151">
      <c r="A151" s="11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21">
        <f>IF(OR(C151="",D151=""),"",COUNTIFS($C$4:$C$303,C151,$D$4:$D$303,D151))</f>
        <v/>
      </c>
    </row>
    <row r="152">
      <c r="A152" s="11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21">
        <f>IF(OR(C152="",D152=""),"",COUNTIFS($C$4:$C$303,C152,$D$4:$D$303,D152))</f>
        <v/>
      </c>
    </row>
    <row r="153">
      <c r="A153" s="11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21">
        <f>IF(OR(C153="",D153=""),"",COUNTIFS($C$4:$C$303,C153,$D$4:$D$303,D153))</f>
        <v/>
      </c>
    </row>
    <row r="154">
      <c r="A154" s="11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21">
        <f>IF(OR(C154="",D154=""),"",COUNTIFS($C$4:$C$303,C154,$D$4:$D$303,D154))</f>
        <v/>
      </c>
    </row>
    <row r="155">
      <c r="A155" s="11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21">
        <f>IF(OR(C155="",D155=""),"",COUNTIFS($C$4:$C$303,C155,$D$4:$D$303,D155))</f>
        <v/>
      </c>
    </row>
    <row r="156">
      <c r="A156" s="11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21">
        <f>IF(OR(C156="",D156=""),"",COUNTIFS($C$4:$C$303,C156,$D$4:$D$303,D156))</f>
        <v/>
      </c>
    </row>
    <row r="157">
      <c r="A157" s="11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21">
        <f>IF(OR(C157="",D157=""),"",COUNTIFS($C$4:$C$303,C157,$D$4:$D$303,D157))</f>
        <v/>
      </c>
    </row>
    <row r="158">
      <c r="A158" s="11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21">
        <f>IF(OR(C158="",D158=""),"",COUNTIFS($C$4:$C$303,C158,$D$4:$D$303,D158))</f>
        <v/>
      </c>
    </row>
    <row r="159">
      <c r="A159" s="11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21">
        <f>IF(OR(C159="",D159=""),"",COUNTIFS($C$4:$C$303,C159,$D$4:$D$303,D159))</f>
        <v/>
      </c>
    </row>
    <row r="160">
      <c r="A160" s="11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21">
        <f>IF(OR(C160="",D160=""),"",COUNTIFS($C$4:$C$303,C160,$D$4:$D$303,D160))</f>
        <v/>
      </c>
    </row>
    <row r="161">
      <c r="A161" s="11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21">
        <f>IF(OR(C161="",D161=""),"",COUNTIFS($C$4:$C$303,C161,$D$4:$D$303,D161))</f>
        <v/>
      </c>
    </row>
    <row r="162">
      <c r="A162" s="11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21">
        <f>IF(OR(C162="",D162=""),"",COUNTIFS($C$4:$C$303,C162,$D$4:$D$303,D162))</f>
        <v/>
      </c>
    </row>
    <row r="163">
      <c r="A163" s="11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21">
        <f>IF(OR(C163="",D163=""),"",COUNTIFS($C$4:$C$303,C163,$D$4:$D$303,D163))</f>
        <v/>
      </c>
    </row>
    <row r="164">
      <c r="A164" s="11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21">
        <f>IF(OR(C164="",D164=""),"",COUNTIFS($C$4:$C$303,C164,$D$4:$D$303,D164))</f>
        <v/>
      </c>
    </row>
    <row r="165">
      <c r="A165" s="11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21">
        <f>IF(OR(C165="",D165=""),"",COUNTIFS($C$4:$C$303,C165,$D$4:$D$303,D165))</f>
        <v/>
      </c>
    </row>
    <row r="166">
      <c r="A166" s="11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21">
        <f>IF(OR(C166="",D166=""),"",COUNTIFS($C$4:$C$303,C166,$D$4:$D$303,D166))</f>
        <v/>
      </c>
    </row>
    <row r="167">
      <c r="A167" s="11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21">
        <f>IF(OR(C167="",D167=""),"",COUNTIFS($C$4:$C$303,C167,$D$4:$D$303,D167))</f>
        <v/>
      </c>
    </row>
    <row r="168">
      <c r="A168" s="11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21">
        <f>IF(OR(C168="",D168=""),"",COUNTIFS($C$4:$C$303,C168,$D$4:$D$303,D168))</f>
        <v/>
      </c>
    </row>
    <row r="169">
      <c r="A169" s="11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21">
        <f>IF(OR(C169="",D169=""),"",COUNTIFS($C$4:$C$303,C169,$D$4:$D$303,D169))</f>
        <v/>
      </c>
    </row>
    <row r="170">
      <c r="A170" s="11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21">
        <f>IF(OR(C170="",D170=""),"",COUNTIFS($C$4:$C$303,C170,$D$4:$D$303,D170))</f>
        <v/>
      </c>
    </row>
    <row r="171">
      <c r="A171" s="11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21">
        <f>IF(OR(C171="",D171=""),"",COUNTIFS($C$4:$C$303,C171,$D$4:$D$303,D171))</f>
        <v/>
      </c>
    </row>
    <row r="172">
      <c r="A172" s="11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21">
        <f>IF(OR(C172="",D172=""),"",COUNTIFS($C$4:$C$303,C172,$D$4:$D$303,D172))</f>
        <v/>
      </c>
    </row>
    <row r="173">
      <c r="A173" s="11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21">
        <f>IF(OR(C173="",D173=""),"",COUNTIFS($C$4:$C$303,C173,$D$4:$D$303,D173))</f>
        <v/>
      </c>
    </row>
    <row r="174">
      <c r="A174" s="11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21">
        <f>IF(OR(C174="",D174=""),"",COUNTIFS($C$4:$C$303,C174,$D$4:$D$303,D174))</f>
        <v/>
      </c>
    </row>
    <row r="175">
      <c r="A175" s="11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21">
        <f>IF(OR(C175="",D175=""),"",COUNTIFS($C$4:$C$303,C175,$D$4:$D$303,D175))</f>
        <v/>
      </c>
    </row>
    <row r="176">
      <c r="A176" s="11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21">
        <f>IF(OR(C176="",D176=""),"",COUNTIFS($C$4:$C$303,C176,$D$4:$D$303,D176))</f>
        <v/>
      </c>
    </row>
    <row r="177">
      <c r="A177" s="11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21">
        <f>IF(OR(C177="",D177=""),"",COUNTIFS($C$4:$C$303,C177,$D$4:$D$303,D177))</f>
        <v/>
      </c>
    </row>
    <row r="178">
      <c r="A178" s="11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21">
        <f>IF(OR(C178="",D178=""),"",COUNTIFS($C$4:$C$303,C178,$D$4:$D$303,D178))</f>
        <v/>
      </c>
    </row>
    <row r="179">
      <c r="A179" s="11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21">
        <f>IF(OR(C179="",D179=""),"",COUNTIFS($C$4:$C$303,C179,$D$4:$D$303,D179))</f>
        <v/>
      </c>
    </row>
    <row r="180">
      <c r="A180" s="11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21">
        <f>IF(OR(C180="",D180=""),"",COUNTIFS($C$4:$C$303,C180,$D$4:$D$303,D180))</f>
        <v/>
      </c>
    </row>
    <row r="181">
      <c r="A181" s="11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21">
        <f>IF(OR(C181="",D181=""),"",COUNTIFS($C$4:$C$303,C181,$D$4:$D$303,D181))</f>
        <v/>
      </c>
    </row>
    <row r="182">
      <c r="A182" s="11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21">
        <f>IF(OR(C182="",D182=""),"",COUNTIFS($C$4:$C$303,C182,$D$4:$D$303,D182))</f>
        <v/>
      </c>
    </row>
    <row r="183">
      <c r="A183" s="11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21">
        <f>IF(OR(C183="",D183=""),"",COUNTIFS($C$4:$C$303,C183,$D$4:$D$303,D183))</f>
        <v/>
      </c>
    </row>
    <row r="184">
      <c r="A184" s="11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21">
        <f>IF(OR(C184="",D184=""),"",COUNTIFS($C$4:$C$303,C184,$D$4:$D$303,D184))</f>
        <v/>
      </c>
    </row>
    <row r="185">
      <c r="A185" s="11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21">
        <f>IF(OR(C185="",D185=""),"",COUNTIFS($C$4:$C$303,C185,$D$4:$D$303,D185))</f>
        <v/>
      </c>
    </row>
    <row r="186">
      <c r="A186" s="11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21">
        <f>IF(OR(C186="",D186=""),"",COUNTIFS($C$4:$C$303,C186,$D$4:$D$303,D186))</f>
        <v/>
      </c>
    </row>
    <row r="187">
      <c r="A187" s="11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21">
        <f>IF(OR(C187="",D187=""),"",COUNTIFS($C$4:$C$303,C187,$D$4:$D$303,D187))</f>
        <v/>
      </c>
    </row>
    <row r="188">
      <c r="A188" s="11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21">
        <f>IF(OR(C188="",D188=""),"",COUNTIFS($C$4:$C$303,C188,$D$4:$D$303,D188))</f>
        <v/>
      </c>
    </row>
    <row r="189">
      <c r="A189" s="11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21">
        <f>IF(OR(C189="",D189=""),"",COUNTIFS($C$4:$C$303,C189,$D$4:$D$303,D189))</f>
        <v/>
      </c>
    </row>
    <row r="190">
      <c r="A190" s="11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21">
        <f>IF(OR(C190="",D190=""),"",COUNTIFS($C$4:$C$303,C190,$D$4:$D$303,D190))</f>
        <v/>
      </c>
    </row>
    <row r="191">
      <c r="A191" s="11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21">
        <f>IF(OR(C191="",D191=""),"",COUNTIFS($C$4:$C$303,C191,$D$4:$D$303,D191))</f>
        <v/>
      </c>
    </row>
    <row r="192">
      <c r="A192" s="11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21">
        <f>IF(OR(C192="",D192=""),"",COUNTIFS($C$4:$C$303,C192,$D$4:$D$303,D192))</f>
        <v/>
      </c>
    </row>
    <row r="193">
      <c r="A193" s="11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21">
        <f>IF(OR(C193="",D193=""),"",COUNTIFS($C$4:$C$303,C193,$D$4:$D$303,D193))</f>
        <v/>
      </c>
    </row>
    <row r="194">
      <c r="A194" s="11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21">
        <f>IF(OR(C194="",D194=""),"",COUNTIFS($C$4:$C$303,C194,$D$4:$D$303,D194))</f>
        <v/>
      </c>
    </row>
    <row r="195">
      <c r="A195" s="11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21">
        <f>IF(OR(C195="",D195=""),"",COUNTIFS($C$4:$C$303,C195,$D$4:$D$303,D195))</f>
        <v/>
      </c>
    </row>
    <row r="196">
      <c r="A196" s="11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21">
        <f>IF(OR(C196="",D196=""),"",COUNTIFS($C$4:$C$303,C196,$D$4:$D$303,D196))</f>
        <v/>
      </c>
    </row>
    <row r="197">
      <c r="A197" s="11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21">
        <f>IF(OR(C197="",D197=""),"",COUNTIFS($C$4:$C$303,C197,$D$4:$D$303,D197))</f>
        <v/>
      </c>
    </row>
    <row r="198">
      <c r="A198" s="11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21">
        <f>IF(OR(C198="",D198=""),"",COUNTIFS($C$4:$C$303,C198,$D$4:$D$303,D198))</f>
        <v/>
      </c>
    </row>
    <row r="199">
      <c r="A199" s="11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21">
        <f>IF(OR(C199="",D199=""),"",COUNTIFS($C$4:$C$303,C199,$D$4:$D$303,D199))</f>
        <v/>
      </c>
    </row>
    <row r="200">
      <c r="A200" s="11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21">
        <f>IF(OR(C200="",D200=""),"",COUNTIFS($C$4:$C$303,C200,$D$4:$D$303,D200))</f>
        <v/>
      </c>
    </row>
    <row r="201">
      <c r="A201" s="11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21">
        <f>IF(OR(C201="",D201=""),"",COUNTIFS($C$4:$C$303,C201,$D$4:$D$303,D201))</f>
        <v/>
      </c>
    </row>
    <row r="202">
      <c r="A202" s="11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21">
        <f>IF(OR(C202="",D202=""),"",COUNTIFS($C$4:$C$303,C202,$D$4:$D$303,D202))</f>
        <v/>
      </c>
    </row>
    <row r="203">
      <c r="A203" s="11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21">
        <f>IF(OR(C203="",D203=""),"",COUNTIFS($C$4:$C$303,C203,$D$4:$D$303,D203))</f>
        <v/>
      </c>
    </row>
    <row r="204">
      <c r="A204" s="11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21">
        <f>IF(OR(C204="",D204=""),"",COUNTIFS($C$4:$C$303,C204,$D$4:$D$303,D204))</f>
        <v/>
      </c>
    </row>
    <row r="205">
      <c r="A205" s="11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21">
        <f>IF(OR(C205="",D205=""),"",COUNTIFS($C$4:$C$303,C205,$D$4:$D$303,D205))</f>
        <v/>
      </c>
    </row>
    <row r="206">
      <c r="A206" s="11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21">
        <f>IF(OR(C206="",D206=""),"",COUNTIFS($C$4:$C$303,C206,$D$4:$D$303,D206))</f>
        <v/>
      </c>
    </row>
    <row r="207">
      <c r="A207" s="11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21">
        <f>IF(OR(C207="",D207=""),"",COUNTIFS($C$4:$C$303,C207,$D$4:$D$303,D207))</f>
        <v/>
      </c>
    </row>
    <row r="208">
      <c r="A208" s="11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21">
        <f>IF(OR(C208="",D208=""),"",COUNTIFS($C$4:$C$303,C208,$D$4:$D$303,D208))</f>
        <v/>
      </c>
    </row>
    <row r="209">
      <c r="A209" s="11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21">
        <f>IF(OR(C209="",D209=""),"",COUNTIFS($C$4:$C$303,C209,$D$4:$D$303,D209))</f>
        <v/>
      </c>
    </row>
    <row r="210">
      <c r="A210" s="11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21">
        <f>IF(OR(C210="",D210=""),"",COUNTIFS($C$4:$C$303,C210,$D$4:$D$303,D210))</f>
        <v/>
      </c>
    </row>
    <row r="211">
      <c r="A211" s="11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21">
        <f>IF(OR(C211="",D211=""),"",COUNTIFS($C$4:$C$303,C211,$D$4:$D$303,D211))</f>
        <v/>
      </c>
    </row>
    <row r="212">
      <c r="A212" s="11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21">
        <f>IF(OR(C212="",D212=""),"",COUNTIFS($C$4:$C$303,C212,$D$4:$D$303,D212))</f>
        <v/>
      </c>
    </row>
    <row r="213">
      <c r="A213" s="11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21">
        <f>IF(OR(C213="",D213=""),"",COUNTIFS($C$4:$C$303,C213,$D$4:$D$303,D213))</f>
        <v/>
      </c>
    </row>
    <row r="214">
      <c r="A214" s="11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21">
        <f>IF(OR(C214="",D214=""),"",COUNTIFS($C$4:$C$303,C214,$D$4:$D$303,D214))</f>
        <v/>
      </c>
    </row>
    <row r="215">
      <c r="A215" s="11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21">
        <f>IF(OR(C215="",D215=""),"",COUNTIFS($C$4:$C$303,C215,$D$4:$D$303,D215))</f>
        <v/>
      </c>
    </row>
    <row r="216">
      <c r="A216" s="11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21">
        <f>IF(OR(C216="",D216=""),"",COUNTIFS($C$4:$C$303,C216,$D$4:$D$303,D216))</f>
        <v/>
      </c>
    </row>
    <row r="217">
      <c r="A217" s="11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21">
        <f>IF(OR(C217="",D217=""),"",COUNTIFS($C$4:$C$303,C217,$D$4:$D$303,D217))</f>
        <v/>
      </c>
    </row>
    <row r="218">
      <c r="A218" s="11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21">
        <f>IF(OR(C218="",D218=""),"",COUNTIFS($C$4:$C$303,C218,$D$4:$D$303,D218))</f>
        <v/>
      </c>
    </row>
    <row r="219">
      <c r="A219" s="11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21">
        <f>IF(OR(C219="",D219=""),"",COUNTIFS($C$4:$C$303,C219,$D$4:$D$303,D219))</f>
        <v/>
      </c>
    </row>
    <row r="220">
      <c r="A220" s="11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21">
        <f>IF(OR(C220="",D220=""),"",COUNTIFS($C$4:$C$303,C220,$D$4:$D$303,D220))</f>
        <v/>
      </c>
    </row>
    <row r="221">
      <c r="A221" s="11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21">
        <f>IF(OR(C221="",D221=""),"",COUNTIFS($C$4:$C$303,C221,$D$4:$D$303,D221))</f>
        <v/>
      </c>
    </row>
    <row r="222">
      <c r="A222" s="11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21">
        <f>IF(OR(C222="",D222=""),"",COUNTIFS($C$4:$C$303,C222,$D$4:$D$303,D222))</f>
        <v/>
      </c>
    </row>
    <row r="223">
      <c r="A223" s="11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21">
        <f>IF(OR(C223="",D223=""),"",COUNTIFS($C$4:$C$303,C223,$D$4:$D$303,D223))</f>
        <v/>
      </c>
    </row>
    <row r="224">
      <c r="A224" s="11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21">
        <f>IF(OR(C224="",D224=""),"",COUNTIFS($C$4:$C$303,C224,$D$4:$D$303,D224))</f>
        <v/>
      </c>
    </row>
    <row r="225">
      <c r="A225" s="11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21">
        <f>IF(OR(C225="",D225=""),"",COUNTIFS($C$4:$C$303,C225,$D$4:$D$303,D225))</f>
        <v/>
      </c>
    </row>
    <row r="226">
      <c r="A226" s="11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21">
        <f>IF(OR(C226="",D226=""),"",COUNTIFS($C$4:$C$303,C226,$D$4:$D$303,D226))</f>
        <v/>
      </c>
    </row>
    <row r="227">
      <c r="A227" s="11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21">
        <f>IF(OR(C227="",D227=""),"",COUNTIFS($C$4:$C$303,C227,$D$4:$D$303,D227))</f>
        <v/>
      </c>
    </row>
    <row r="228">
      <c r="A228" s="11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21">
        <f>IF(OR(C228="",D228=""),"",COUNTIFS($C$4:$C$303,C228,$D$4:$D$303,D228))</f>
        <v/>
      </c>
    </row>
    <row r="229">
      <c r="A229" s="11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21">
        <f>IF(OR(C229="",D229=""),"",COUNTIFS($C$4:$C$303,C229,$D$4:$D$303,D229))</f>
        <v/>
      </c>
    </row>
    <row r="230">
      <c r="A230" s="11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21">
        <f>IF(OR(C230="",D230=""),"",COUNTIFS($C$4:$C$303,C230,$D$4:$D$303,D230))</f>
        <v/>
      </c>
    </row>
    <row r="231">
      <c r="A231" s="11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21">
        <f>IF(OR(C231="",D231=""),"",COUNTIFS($C$4:$C$303,C231,$D$4:$D$303,D231))</f>
        <v/>
      </c>
    </row>
    <row r="232">
      <c r="A232" s="11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21">
        <f>IF(OR(C232="",D232=""),"",COUNTIFS($C$4:$C$303,C232,$D$4:$D$303,D232))</f>
        <v/>
      </c>
    </row>
    <row r="233">
      <c r="A233" s="11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21">
        <f>IF(OR(C233="",D233=""),"",COUNTIFS($C$4:$C$303,C233,$D$4:$D$303,D233))</f>
        <v/>
      </c>
    </row>
    <row r="234">
      <c r="A234" s="11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21">
        <f>IF(OR(C234="",D234=""),"",COUNTIFS($C$4:$C$303,C234,$D$4:$D$303,D234))</f>
        <v/>
      </c>
    </row>
    <row r="235">
      <c r="A235" s="11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21">
        <f>IF(OR(C235="",D235=""),"",COUNTIFS($C$4:$C$303,C235,$D$4:$D$303,D235))</f>
        <v/>
      </c>
    </row>
    <row r="236">
      <c r="A236" s="11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21">
        <f>IF(OR(C236="",D236=""),"",COUNTIFS($C$4:$C$303,C236,$D$4:$D$303,D236))</f>
        <v/>
      </c>
    </row>
    <row r="237">
      <c r="A237" s="11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21">
        <f>IF(OR(C237="",D237=""),"",COUNTIFS($C$4:$C$303,C237,$D$4:$D$303,D237))</f>
        <v/>
      </c>
    </row>
    <row r="238">
      <c r="A238" s="11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21">
        <f>IF(OR(C238="",D238=""),"",COUNTIFS($C$4:$C$303,C238,$D$4:$D$303,D238))</f>
        <v/>
      </c>
    </row>
    <row r="239">
      <c r="A239" s="11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21">
        <f>IF(OR(C239="",D239=""),"",COUNTIFS($C$4:$C$303,C239,$D$4:$D$303,D239))</f>
        <v/>
      </c>
    </row>
    <row r="240">
      <c r="A240" s="11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21">
        <f>IF(OR(C240="",D240=""),"",COUNTIFS($C$4:$C$303,C240,$D$4:$D$303,D240))</f>
        <v/>
      </c>
    </row>
    <row r="241">
      <c r="A241" s="11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21">
        <f>IF(OR(C241="",D241=""),"",COUNTIFS($C$4:$C$303,C241,$D$4:$D$303,D241))</f>
        <v/>
      </c>
    </row>
    <row r="242">
      <c r="A242" s="11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21">
        <f>IF(OR(C242="",D242=""),"",COUNTIFS($C$4:$C$303,C242,$D$4:$D$303,D242))</f>
        <v/>
      </c>
    </row>
    <row r="243">
      <c r="A243" s="11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21">
        <f>IF(OR(C243="",D243=""),"",COUNTIFS($C$4:$C$303,C243,$D$4:$D$303,D243))</f>
        <v/>
      </c>
    </row>
    <row r="244">
      <c r="A244" s="11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21">
        <f>IF(OR(C244="",D244=""),"",COUNTIFS($C$4:$C$303,C244,$D$4:$D$303,D244))</f>
        <v/>
      </c>
    </row>
    <row r="245">
      <c r="A245" s="11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21">
        <f>IF(OR(C245="",D245=""),"",COUNTIFS($C$4:$C$303,C245,$D$4:$D$303,D245))</f>
        <v/>
      </c>
    </row>
    <row r="246">
      <c r="A246" s="11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21">
        <f>IF(OR(C246="",D246=""),"",COUNTIFS($C$4:$C$303,C246,$D$4:$D$303,D246))</f>
        <v/>
      </c>
    </row>
    <row r="247">
      <c r="A247" s="11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21">
        <f>IF(OR(C247="",D247=""),"",COUNTIFS($C$4:$C$303,C247,$D$4:$D$303,D247))</f>
        <v/>
      </c>
    </row>
    <row r="248">
      <c r="A248" s="11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21">
        <f>IF(OR(C248="",D248=""),"",COUNTIFS($C$4:$C$303,C248,$D$4:$D$303,D248))</f>
        <v/>
      </c>
    </row>
    <row r="249">
      <c r="A249" s="11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21">
        <f>IF(OR(C249="",D249=""),"",COUNTIFS($C$4:$C$303,C249,$D$4:$D$303,D249))</f>
        <v/>
      </c>
    </row>
    <row r="250">
      <c r="A250" s="11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21">
        <f>IF(OR(C250="",D250=""),"",COUNTIFS($C$4:$C$303,C250,$D$4:$D$303,D250))</f>
        <v/>
      </c>
    </row>
    <row r="251">
      <c r="A251" s="11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21">
        <f>IF(OR(C251="",D251=""),"",COUNTIFS($C$4:$C$303,C251,$D$4:$D$303,D251))</f>
        <v/>
      </c>
    </row>
    <row r="252">
      <c r="A252" s="11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21">
        <f>IF(OR(C252="",D252=""),"",COUNTIFS($C$4:$C$303,C252,$D$4:$D$303,D252))</f>
        <v/>
      </c>
    </row>
    <row r="253">
      <c r="A253" s="11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21">
        <f>IF(OR(C253="",D253=""),"",COUNTIFS($C$4:$C$303,C253,$D$4:$D$303,D253))</f>
        <v/>
      </c>
    </row>
    <row r="254">
      <c r="A254" s="11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21">
        <f>IF(OR(C254="",D254=""),"",COUNTIFS($C$4:$C$303,C254,$D$4:$D$303,D254))</f>
        <v/>
      </c>
    </row>
    <row r="255">
      <c r="A255" s="11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21">
        <f>IF(OR(C255="",D255=""),"",COUNTIFS($C$4:$C$303,C255,$D$4:$D$303,D255))</f>
        <v/>
      </c>
    </row>
    <row r="256">
      <c r="A256" s="11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21">
        <f>IF(OR(C256="",D256=""),"",COUNTIFS($C$4:$C$303,C256,$D$4:$D$303,D256))</f>
        <v/>
      </c>
    </row>
    <row r="257">
      <c r="A257" s="11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21">
        <f>IF(OR(C257="",D257=""),"",COUNTIFS($C$4:$C$303,C257,$D$4:$D$303,D257))</f>
        <v/>
      </c>
    </row>
    <row r="258">
      <c r="A258" s="11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21">
        <f>IF(OR(C258="",D258=""),"",COUNTIFS($C$4:$C$303,C258,$D$4:$D$303,D258))</f>
        <v/>
      </c>
    </row>
    <row r="259">
      <c r="A259" s="11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21">
        <f>IF(OR(C259="",D259=""),"",COUNTIFS($C$4:$C$303,C259,$D$4:$D$303,D259))</f>
        <v/>
      </c>
    </row>
    <row r="260">
      <c r="A260" s="11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21">
        <f>IF(OR(C260="",D260=""),"",COUNTIFS($C$4:$C$303,C260,$D$4:$D$303,D260))</f>
        <v/>
      </c>
    </row>
    <row r="261">
      <c r="A261" s="11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21">
        <f>IF(OR(C261="",D261=""),"",COUNTIFS($C$4:$C$303,C261,$D$4:$D$303,D261))</f>
        <v/>
      </c>
    </row>
    <row r="262">
      <c r="A262" s="11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21">
        <f>IF(OR(C262="",D262=""),"",COUNTIFS($C$4:$C$303,C262,$D$4:$D$303,D262))</f>
        <v/>
      </c>
    </row>
    <row r="263">
      <c r="A263" s="11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21">
        <f>IF(OR(C263="",D263=""),"",COUNTIFS($C$4:$C$303,C263,$D$4:$D$303,D263))</f>
        <v/>
      </c>
    </row>
    <row r="264">
      <c r="A264" s="11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21">
        <f>IF(OR(C264="",D264=""),"",COUNTIFS($C$4:$C$303,C264,$D$4:$D$303,D264))</f>
        <v/>
      </c>
    </row>
    <row r="265">
      <c r="A265" s="11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21">
        <f>IF(OR(C265="",D265=""),"",COUNTIFS($C$4:$C$303,C265,$D$4:$D$303,D265))</f>
        <v/>
      </c>
    </row>
    <row r="266">
      <c r="A266" s="11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21">
        <f>IF(OR(C266="",D266=""),"",COUNTIFS($C$4:$C$303,C266,$D$4:$D$303,D266))</f>
        <v/>
      </c>
    </row>
    <row r="267">
      <c r="A267" s="11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21">
        <f>IF(OR(C267="",D267=""),"",COUNTIFS($C$4:$C$303,C267,$D$4:$D$303,D267))</f>
        <v/>
      </c>
    </row>
    <row r="268">
      <c r="A268" s="11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21">
        <f>IF(OR(C268="",D268=""),"",COUNTIFS($C$4:$C$303,C268,$D$4:$D$303,D268))</f>
        <v/>
      </c>
    </row>
    <row r="269">
      <c r="A269" s="11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21">
        <f>IF(OR(C269="",D269=""),"",COUNTIFS($C$4:$C$303,C269,$D$4:$D$303,D269))</f>
        <v/>
      </c>
    </row>
    <row r="270">
      <c r="A270" s="11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21">
        <f>IF(OR(C270="",D270=""),"",COUNTIFS($C$4:$C$303,C270,$D$4:$D$303,D270))</f>
        <v/>
      </c>
    </row>
    <row r="271">
      <c r="A271" s="11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21">
        <f>IF(OR(C271="",D271=""),"",COUNTIFS($C$4:$C$303,C271,$D$4:$D$303,D271))</f>
        <v/>
      </c>
    </row>
    <row r="272">
      <c r="A272" s="11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21">
        <f>IF(OR(C272="",D272=""),"",COUNTIFS($C$4:$C$303,C272,$D$4:$D$303,D272))</f>
        <v/>
      </c>
    </row>
    <row r="273">
      <c r="A273" s="11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21">
        <f>IF(OR(C273="",D273=""),"",COUNTIFS($C$4:$C$303,C273,$D$4:$D$303,D273))</f>
        <v/>
      </c>
    </row>
    <row r="274">
      <c r="A274" s="11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21">
        <f>IF(OR(C274="",D274=""),"",COUNTIFS($C$4:$C$303,C274,$D$4:$D$303,D274))</f>
        <v/>
      </c>
    </row>
    <row r="275">
      <c r="A275" s="11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21">
        <f>IF(OR(C275="",D275=""),"",COUNTIFS($C$4:$C$303,C275,$D$4:$D$303,D275))</f>
        <v/>
      </c>
    </row>
    <row r="276">
      <c r="A276" s="11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21">
        <f>IF(OR(C276="",D276=""),"",COUNTIFS($C$4:$C$303,C276,$D$4:$D$303,D276))</f>
        <v/>
      </c>
    </row>
    <row r="277">
      <c r="A277" s="11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21">
        <f>IF(OR(C277="",D277=""),"",COUNTIFS($C$4:$C$303,C277,$D$4:$D$303,D277))</f>
        <v/>
      </c>
    </row>
    <row r="278">
      <c r="A278" s="11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21">
        <f>IF(OR(C278="",D278=""),"",COUNTIFS($C$4:$C$303,C278,$D$4:$D$303,D278))</f>
        <v/>
      </c>
    </row>
    <row r="279">
      <c r="A279" s="11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21">
        <f>IF(OR(C279="",D279=""),"",COUNTIFS($C$4:$C$303,C279,$D$4:$D$303,D279))</f>
        <v/>
      </c>
    </row>
    <row r="280">
      <c r="A280" s="11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21">
        <f>IF(OR(C280="",D280=""),"",COUNTIFS($C$4:$C$303,C280,$D$4:$D$303,D280))</f>
        <v/>
      </c>
    </row>
    <row r="281">
      <c r="A281" s="11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21">
        <f>IF(OR(C281="",D281=""),"",COUNTIFS($C$4:$C$303,C281,$D$4:$D$303,D281))</f>
        <v/>
      </c>
    </row>
    <row r="282">
      <c r="A282" s="11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21">
        <f>IF(OR(C282="",D282=""),"",COUNTIFS($C$4:$C$303,C282,$D$4:$D$303,D282))</f>
        <v/>
      </c>
    </row>
    <row r="283">
      <c r="A283" s="11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21">
        <f>IF(OR(C283="",D283=""),"",COUNTIFS($C$4:$C$303,C283,$D$4:$D$303,D283))</f>
        <v/>
      </c>
    </row>
    <row r="284">
      <c r="A284" s="11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21">
        <f>IF(OR(C284="",D284=""),"",COUNTIFS($C$4:$C$303,C284,$D$4:$D$303,D284))</f>
        <v/>
      </c>
    </row>
    <row r="285">
      <c r="A285" s="11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21">
        <f>IF(OR(C285="",D285=""),"",COUNTIFS($C$4:$C$303,C285,$D$4:$D$303,D285))</f>
        <v/>
      </c>
    </row>
    <row r="286">
      <c r="A286" s="11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21">
        <f>IF(OR(C286="",D286=""),"",COUNTIFS($C$4:$C$303,C286,$D$4:$D$303,D286))</f>
        <v/>
      </c>
    </row>
    <row r="287">
      <c r="A287" s="11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21">
        <f>IF(OR(C287="",D287=""),"",COUNTIFS($C$4:$C$303,C287,$D$4:$D$303,D287))</f>
        <v/>
      </c>
    </row>
    <row r="288">
      <c r="A288" s="11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21">
        <f>IF(OR(C288="",D288=""),"",COUNTIFS($C$4:$C$303,C288,$D$4:$D$303,D288))</f>
        <v/>
      </c>
    </row>
    <row r="289">
      <c r="A289" s="11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21">
        <f>IF(OR(C289="",D289=""),"",COUNTIFS($C$4:$C$303,C289,$D$4:$D$303,D289))</f>
        <v/>
      </c>
    </row>
    <row r="290">
      <c r="A290" s="11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21">
        <f>IF(OR(C290="",D290=""),"",COUNTIFS($C$4:$C$303,C290,$D$4:$D$303,D290))</f>
        <v/>
      </c>
    </row>
    <row r="291">
      <c r="A291" s="11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21">
        <f>IF(OR(C291="",D291=""),"",COUNTIFS($C$4:$C$303,C291,$D$4:$D$303,D291))</f>
        <v/>
      </c>
    </row>
    <row r="292">
      <c r="A292" s="11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1">
        <f>IF(OR(C292="",D292=""),"",COUNTIFS($C$4:$C$303,C292,$D$4:$D$303,D292))</f>
        <v/>
      </c>
    </row>
    <row r="293">
      <c r="A293" s="11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1">
        <f>IF(OR(C293="",D293=""),"",COUNTIFS($C$4:$C$303,C293,$D$4:$D$303,D293))</f>
        <v/>
      </c>
    </row>
    <row r="294">
      <c r="A294" s="11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21">
        <f>IF(OR(C294="",D294=""),"",COUNTIFS($C$4:$C$303,C294,$D$4:$D$303,D294))</f>
        <v/>
      </c>
    </row>
    <row r="295">
      <c r="A295" s="11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21">
        <f>IF(OR(C295="",D295=""),"",COUNTIFS($C$4:$C$303,C295,$D$4:$D$303,D295))</f>
        <v/>
      </c>
    </row>
    <row r="296">
      <c r="A296" s="11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21">
        <f>IF(OR(C296="",D296=""),"",COUNTIFS($C$4:$C$303,C296,$D$4:$D$303,D296))</f>
        <v/>
      </c>
    </row>
    <row r="297">
      <c r="A297" s="11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21">
        <f>IF(OR(C297="",D297=""),"",COUNTIFS($C$4:$C$303,C297,$D$4:$D$303,D297))</f>
        <v/>
      </c>
    </row>
    <row r="298">
      <c r="A298" s="11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21">
        <f>IF(OR(C298="",D298=""),"",COUNTIFS($C$4:$C$303,C298,$D$4:$D$303,D298))</f>
        <v/>
      </c>
    </row>
    <row r="299">
      <c r="A299" s="11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21">
        <f>IF(OR(C299="",D299=""),"",COUNTIFS($C$4:$C$303,C299,$D$4:$D$303,D299))</f>
        <v/>
      </c>
    </row>
    <row r="300">
      <c r="A300" s="11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21">
        <f>IF(OR(C300="",D300=""),"",COUNTIFS($C$4:$C$303,C300,$D$4:$D$303,D300))</f>
        <v/>
      </c>
    </row>
    <row r="301">
      <c r="A301" s="11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21">
        <f>IF(OR(C301="",D301=""),"",COUNTIFS($C$4:$C$303,C301,$D$4:$D$303,D301))</f>
        <v/>
      </c>
    </row>
    <row r="302">
      <c r="A302" s="11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21">
        <f>IF(OR(C302="",D302=""),"",COUNTIFS($C$4:$C$303,C302,$D$4:$D$303,D302))</f>
        <v/>
      </c>
    </row>
    <row r="303">
      <c r="A303" s="11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21">
        <f>IF(OR(C303="",D303=""),"",COUNTIFS($C$4:$C$303,C303,$D$4:$D$303,D303))</f>
        <v/>
      </c>
    </row>
  </sheetData>
  <autoFilter ref="A3:J303"/>
  <conditionalFormatting sqref="J4:J303">
    <cfRule type="cellIs" priority="1" operator="greaterThanOrEqual" dxfId="3">
      <formula>3</formula>
    </cfRule>
    <cfRule type="cellIs" priority="2" operator="equal" dxfId="4">
      <formula>2</formula>
    </cfRule>
  </conditionalFormatting>
  <conditionalFormatting sqref="H4:H303">
    <cfRule type="cellIs" priority="3" operator="equal" dxfId="5">
      <formula>"Hayır"</formula>
    </cfRule>
    <cfRule type="cellIs" priority="4" operator="equal" dxfId="6">
      <formula>"Evet"</formula>
    </cfRule>
  </conditionalFormatting>
  <dataValidations count="4">
    <dataValidation sqref="C4:C303" showDropDown="0" showInputMessage="0" showErrorMessage="0" allowBlank="1" type="list">
      <formula1>Ayarlar!$A$4:$A$11</formula1>
    </dataValidation>
    <dataValidation sqref="F4:F303" showDropDown="0" showInputMessage="0" showErrorMessage="0" allowBlank="1" type="list">
      <formula1>Ayarlar!$I$4:$I$5</formula1>
    </dataValidation>
    <dataValidation sqref="G4:G303" showDropDown="0" showInputMessage="0" showErrorMessage="0" allowBlank="1" type="list">
      <formula1>Ayarlar!$E$4:$E$10</formula1>
    </dataValidation>
    <dataValidation sqref="H4:H303" showDropDown="0" showInputMessage="0" showErrorMessage="0" allowBlank="1" type="list">
      <formula1>Ayarlar!$G$4:$G$5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1" customWidth="1" min="12" max="12"/>
    <col width="15" customWidth="1" min="13" max="13"/>
    <col width="12" customWidth="1" min="14" max="14"/>
  </cols>
  <sheetData>
    <row r="1">
      <c r="A1" s="1" t="inlineStr">
        <is>
          <t>Deneme Analizi</t>
        </is>
      </c>
    </row>
    <row r="2">
      <c r="A2" s="5" t="inlineStr">
        <is>
          <t>Bu sayfa tamamen otomatik — bir şey yazmana gerek yok (sadece B34'ten ders seçebilirsin).</t>
        </is>
      </c>
    </row>
    <row r="3" ht="30" customHeight="1">
      <c r="A3" s="22" t="inlineStr">
        <is>
          <t>Deneme Sayısı</t>
        </is>
      </c>
      <c r="B3" s="22" t="inlineStr">
        <is>
          <t>Genel Başarı %</t>
        </is>
      </c>
      <c r="C3" s="22" t="inlineStr">
        <is>
          <t>Son Deneme Başarı %</t>
        </is>
      </c>
      <c r="D3" s="22" t="inlineStr">
        <is>
          <t>Son Deneme Neti</t>
        </is>
      </c>
      <c r="E3" s="22" t="inlineStr">
        <is>
          <t>İlk → Son Gelişim</t>
        </is>
      </c>
      <c r="F3" s="22" t="inlineStr">
        <is>
          <t>En Güçlü Ders</t>
        </is>
      </c>
      <c r="G3" s="22" t="inlineStr">
        <is>
          <t>Öncelikli Çalışılacak Ders</t>
        </is>
      </c>
      <c r="H3" s="22" t="inlineStr">
        <is>
          <t>Son Tahmini TYT Puanı</t>
        </is>
      </c>
    </row>
    <row r="4" ht="34" customHeight="1">
      <c r="A4" s="23">
        <f>COUNT('Deneme Girişi'!$AN$5:$AN$54)</f>
        <v/>
      </c>
      <c r="B4" s="24">
        <f>IF(N(SUM('Deneme Girişi'!$AL$5:$AL$54))=0,"",SUM('Deneme Girişi'!$AN$5:$AN$54)/SUM('Deneme Girişi'!$AL$5:$AL$54))</f>
        <v/>
      </c>
      <c r="C4" s="24">
        <f>IF(COUNT('Deneme Girişi'!$AO$5:$AO$54)=0,"",INDEX('Deneme Girişi'!$AO$5:$AO$54,MATCH(9.99E+307,'Deneme Girişi'!$AO$5:$AO$54)))</f>
        <v/>
      </c>
      <c r="D4" s="25">
        <f>IF(COUNT('Deneme Girişi'!$AN$5:$AN$54)=0,"",INDEX('Deneme Girişi'!$AN$5:$AN$54,MATCH(9.99E+307,'Deneme Girişi'!$AN$5:$AN$54)))</f>
        <v/>
      </c>
      <c r="E4" s="26">
        <f>IF(COUNT('Deneme Girişi'!$AO$5:$AO$54)&lt;2,"",C4-INDEX('Deneme Girişi'!$AO$5:$AO$54,MATCH(TRUE,INDEX(ISNUMBER('Deneme Girişi'!$AO$5:$AO$54),0),0)))</f>
        <v/>
      </c>
      <c r="F4" s="27">
        <f>IF(COUNT(L8:L15)=0,"",INDEX(A8:A15,MATCH(MAX(L8:L15),L8:L15,0)))</f>
        <v/>
      </c>
      <c r="G4" s="27">
        <f>IF(COUNT(L8:L15)=0,"",INDEX(A8:A15,MATCH(MIN(L8:L15),L8:L15,0)))</f>
        <v/>
      </c>
      <c r="H4" s="23">
        <f>IF(COUNT('Deneme Girişi'!$AU$5:$AU$54)=0,"",INDEX('Deneme Girişi'!$AU$5:$AU$54,MATCH(9.99E+307,'Deneme Girişi'!$AU$5:$AU$54)))</f>
        <v/>
      </c>
    </row>
    <row r="6">
      <c r="A6" s="28" t="inlineStr">
        <is>
          <t>Ders Bazında Durum</t>
        </is>
      </c>
    </row>
    <row r="7">
      <c r="A7" s="6" t="inlineStr">
        <is>
          <t>Ders</t>
        </is>
      </c>
      <c r="B7" s="6" t="inlineStr">
        <is>
          <t>Ort. Soru</t>
        </is>
      </c>
      <c r="C7" s="6" t="inlineStr">
        <is>
          <t>Deneme Sayısı</t>
        </is>
      </c>
      <c r="D7" s="6" t="inlineStr">
        <is>
          <t>Ort. Doğru</t>
        </is>
      </c>
      <c r="E7" s="6" t="inlineStr">
        <is>
          <t>Ort. Yanlış</t>
        </is>
      </c>
      <c r="F7" s="6" t="inlineStr">
        <is>
          <t>Ort. Boş</t>
        </is>
      </c>
      <c r="G7" s="6" t="inlineStr">
        <is>
          <t>Ort. Net</t>
        </is>
      </c>
      <c r="H7" s="6" t="inlineStr">
        <is>
          <t>En Yüksek</t>
        </is>
      </c>
      <c r="I7" s="6" t="inlineStr">
        <is>
          <t>Son Net</t>
        </is>
      </c>
      <c r="J7" s="6" t="inlineStr">
        <is>
          <t>Hedef Net</t>
        </is>
      </c>
      <c r="K7" s="6" t="inlineStr">
        <is>
          <t>Hedefe Kalan</t>
        </is>
      </c>
      <c r="L7" s="6" t="inlineStr">
        <is>
          <t>Başarı %</t>
        </is>
      </c>
      <c r="M7" s="6" t="inlineStr">
        <is>
          <t>Durum</t>
        </is>
      </c>
      <c r="N7" s="6" t="inlineStr">
        <is>
          <t>Defterdeki Hata</t>
        </is>
      </c>
    </row>
    <row r="8">
      <c r="A8" s="29">
        <f>Ayarlar!A4</f>
        <v/>
      </c>
      <c r="B8" s="30">
        <f>IF(C8=0,"",(SUMPRODUCT(ISNUMBER('Deneme Girişi'!$G$5:$G$54)*'Deneme Girişi'!$F$5:$F$54)+Ayarlar!$B$4*SUMPRODUCT(ISNUMBER('Deneme Girişi'!$G$5:$G$54)*('Deneme Girişi'!$F$5:$F$54="")))/C8)</f>
        <v/>
      </c>
      <c r="C8" s="30">
        <f>COUNT('Deneme Girişi'!$G$5:$G$54)</f>
        <v/>
      </c>
      <c r="D8" s="19">
        <f>IF(C8=0,"",SUM('Deneme Girişi'!$D$5:$D$54)/C8)</f>
        <v/>
      </c>
      <c r="E8" s="19">
        <f>IF(C8=0,"",SUM('Deneme Girişi'!$E$5:$E$54)/C8)</f>
        <v/>
      </c>
      <c r="F8" s="19">
        <f>IF(C8=0,"",B8-D8-E8)</f>
        <v/>
      </c>
      <c r="G8" s="31">
        <f>IF(C8=0,"",AVERAGE('Deneme Girişi'!$G$5:$G$54))</f>
        <v/>
      </c>
      <c r="H8" s="19">
        <f>IF(C8=0,"",MAX('Deneme Girişi'!$G$5:$G$54))</f>
        <v/>
      </c>
      <c r="I8" s="19">
        <f>IF(C8=0,"",INDEX('Deneme Girişi'!$G$5:$G$54,MATCH(9.99E+307,'Deneme Girişi'!$G$5:$G$54)))</f>
        <v/>
      </c>
      <c r="J8" s="19">
        <f>Ayarlar!C4</f>
        <v/>
      </c>
      <c r="K8" s="19">
        <f>IF(C8=0,"",MAX(0,J8-I8))</f>
        <v/>
      </c>
      <c r="L8" s="32">
        <f>IF(OR(C8=0,B8=0),"",G8/B8)</f>
        <v/>
      </c>
      <c r="M8" s="30">
        <f>IF(L8="","—",IF(L8&gt;=0.75,"Güçlü",IF(L8&gt;=0.5,"Orta","Geliştirilmeli")))</f>
        <v/>
      </c>
      <c r="N8" s="30">
        <f>COUNTIF('Konu Takibi'!$C$4:$C$303,A8)</f>
        <v/>
      </c>
    </row>
    <row r="9">
      <c r="A9" s="33">
        <f>Ayarlar!A5</f>
        <v/>
      </c>
      <c r="B9" s="34">
        <f>IF(C9=0,"",(SUMPRODUCT(ISNUMBER('Deneme Girişi'!$K$5:$K$54)*'Deneme Girişi'!$J$5:$J$54)+Ayarlar!$B$5*SUMPRODUCT(ISNUMBER('Deneme Girişi'!$K$5:$K$54)*('Deneme Girişi'!$J$5:$J$54="")))/C9)</f>
        <v/>
      </c>
      <c r="C9" s="34">
        <f>COUNT('Deneme Girişi'!$K$5:$K$54)</f>
        <v/>
      </c>
      <c r="D9" s="35">
        <f>IF(C9=0,"",SUM('Deneme Girişi'!$H$5:$H$54)/C9)</f>
        <v/>
      </c>
      <c r="E9" s="35">
        <f>IF(C9=0,"",SUM('Deneme Girişi'!$I$5:$I$54)/C9)</f>
        <v/>
      </c>
      <c r="F9" s="35">
        <f>IF(C9=0,"",B9-D9-E9)</f>
        <v/>
      </c>
      <c r="G9" s="36">
        <f>IF(C9=0,"",AVERAGE('Deneme Girişi'!$K$5:$K$54))</f>
        <v/>
      </c>
      <c r="H9" s="35">
        <f>IF(C9=0,"",MAX('Deneme Girişi'!$K$5:$K$54))</f>
        <v/>
      </c>
      <c r="I9" s="35">
        <f>IF(C9=0,"",INDEX('Deneme Girişi'!$K$5:$K$54,MATCH(9.99E+307,'Deneme Girişi'!$K$5:$K$54)))</f>
        <v/>
      </c>
      <c r="J9" s="35">
        <f>Ayarlar!C5</f>
        <v/>
      </c>
      <c r="K9" s="35">
        <f>IF(C9=0,"",MAX(0,J9-I9))</f>
        <v/>
      </c>
      <c r="L9" s="37">
        <f>IF(OR(C9=0,B9=0),"",G9/B9)</f>
        <v/>
      </c>
      <c r="M9" s="34">
        <f>IF(L9="","—",IF(L9&gt;=0.75,"Güçlü",IF(L9&gt;=0.5,"Orta","Geliştirilmeli")))</f>
        <v/>
      </c>
      <c r="N9" s="34">
        <f>COUNTIF('Konu Takibi'!$C$4:$C$303,A9)</f>
        <v/>
      </c>
    </row>
    <row r="10">
      <c r="A10" s="29">
        <f>Ayarlar!A6</f>
        <v/>
      </c>
      <c r="B10" s="30">
        <f>IF(C10=0,"",(SUMPRODUCT(ISNUMBER('Deneme Girişi'!$O$5:$O$54)*'Deneme Girişi'!$N$5:$N$54)+Ayarlar!$B$6*SUMPRODUCT(ISNUMBER('Deneme Girişi'!$O$5:$O$54)*('Deneme Girişi'!$N$5:$N$54="")))/C10)</f>
        <v/>
      </c>
      <c r="C10" s="30">
        <f>COUNT('Deneme Girişi'!$O$5:$O$54)</f>
        <v/>
      </c>
      <c r="D10" s="19">
        <f>IF(C10=0,"",SUM('Deneme Girişi'!$L$5:$L$54)/C10)</f>
        <v/>
      </c>
      <c r="E10" s="19">
        <f>IF(C10=0,"",SUM('Deneme Girişi'!$M$5:$M$54)/C10)</f>
        <v/>
      </c>
      <c r="F10" s="19">
        <f>IF(C10=0,"",B10-D10-E10)</f>
        <v/>
      </c>
      <c r="G10" s="31">
        <f>IF(C10=0,"",AVERAGE('Deneme Girişi'!$O$5:$O$54))</f>
        <v/>
      </c>
      <c r="H10" s="19">
        <f>IF(C10=0,"",MAX('Deneme Girişi'!$O$5:$O$54))</f>
        <v/>
      </c>
      <c r="I10" s="19">
        <f>IF(C10=0,"",INDEX('Deneme Girişi'!$O$5:$O$54,MATCH(9.99E+307,'Deneme Girişi'!$O$5:$O$54)))</f>
        <v/>
      </c>
      <c r="J10" s="19">
        <f>Ayarlar!C6</f>
        <v/>
      </c>
      <c r="K10" s="19">
        <f>IF(C10=0,"",MAX(0,J10-I10))</f>
        <v/>
      </c>
      <c r="L10" s="32">
        <f>IF(OR(C10=0,B10=0),"",G10/B10)</f>
        <v/>
      </c>
      <c r="M10" s="30">
        <f>IF(L10="","—",IF(L10&gt;=0.75,"Güçlü",IF(L10&gt;=0.5,"Orta","Geliştirilmeli")))</f>
        <v/>
      </c>
      <c r="N10" s="30">
        <f>COUNTIF('Konu Takibi'!$C$4:$C$303,A10)</f>
        <v/>
      </c>
    </row>
    <row r="11">
      <c r="A11" s="33">
        <f>Ayarlar!A7</f>
        <v/>
      </c>
      <c r="B11" s="34">
        <f>IF(C11=0,"",(SUMPRODUCT(ISNUMBER('Deneme Girişi'!$S$5:$S$54)*'Deneme Girişi'!$R$5:$R$54)+Ayarlar!$B$7*SUMPRODUCT(ISNUMBER('Deneme Girişi'!$S$5:$S$54)*('Deneme Girişi'!$R$5:$R$54="")))/C11)</f>
        <v/>
      </c>
      <c r="C11" s="34">
        <f>COUNT('Deneme Girişi'!$S$5:$S$54)</f>
        <v/>
      </c>
      <c r="D11" s="35">
        <f>IF(C11=0,"",SUM('Deneme Girişi'!$P$5:$P$54)/C11)</f>
        <v/>
      </c>
      <c r="E11" s="35">
        <f>IF(C11=0,"",SUM('Deneme Girişi'!$Q$5:$Q$54)/C11)</f>
        <v/>
      </c>
      <c r="F11" s="35">
        <f>IF(C11=0,"",B11-D11-E11)</f>
        <v/>
      </c>
      <c r="G11" s="36">
        <f>IF(C11=0,"",AVERAGE('Deneme Girişi'!$S$5:$S$54))</f>
        <v/>
      </c>
      <c r="H11" s="35">
        <f>IF(C11=0,"",MAX('Deneme Girişi'!$S$5:$S$54))</f>
        <v/>
      </c>
      <c r="I11" s="35">
        <f>IF(C11=0,"",INDEX('Deneme Girişi'!$S$5:$S$54,MATCH(9.99E+307,'Deneme Girişi'!$S$5:$S$54)))</f>
        <v/>
      </c>
      <c r="J11" s="35">
        <f>Ayarlar!C7</f>
        <v/>
      </c>
      <c r="K11" s="35">
        <f>IF(C11=0,"",MAX(0,J11-I11))</f>
        <v/>
      </c>
      <c r="L11" s="37">
        <f>IF(OR(C11=0,B11=0),"",G11/B11)</f>
        <v/>
      </c>
      <c r="M11" s="34">
        <f>IF(L11="","—",IF(L11&gt;=0.75,"Güçlü",IF(L11&gt;=0.5,"Orta","Geliştirilmeli")))</f>
        <v/>
      </c>
      <c r="N11" s="34">
        <f>COUNTIF('Konu Takibi'!$C$4:$C$303,A11)</f>
        <v/>
      </c>
    </row>
    <row r="12">
      <c r="A12" s="29">
        <f>Ayarlar!A8</f>
        <v/>
      </c>
      <c r="B12" s="30">
        <f>IF(C12=0,"",(SUMPRODUCT(ISNUMBER('Deneme Girişi'!$W$5:$W$54)*'Deneme Girişi'!$V$5:$V$54)+Ayarlar!$B$8*SUMPRODUCT(ISNUMBER('Deneme Girişi'!$W$5:$W$54)*('Deneme Girişi'!$V$5:$V$54="")))/C12)</f>
        <v/>
      </c>
      <c r="C12" s="30">
        <f>COUNT('Deneme Girişi'!$W$5:$W$54)</f>
        <v/>
      </c>
      <c r="D12" s="19">
        <f>IF(C12=0,"",SUM('Deneme Girişi'!$T$5:$T$54)/C12)</f>
        <v/>
      </c>
      <c r="E12" s="19">
        <f>IF(C12=0,"",SUM('Deneme Girişi'!$U$5:$U$54)/C12)</f>
        <v/>
      </c>
      <c r="F12" s="19">
        <f>IF(C12=0,"",B12-D12-E12)</f>
        <v/>
      </c>
      <c r="G12" s="31">
        <f>IF(C12=0,"",AVERAGE('Deneme Girişi'!$W$5:$W$54))</f>
        <v/>
      </c>
      <c r="H12" s="19">
        <f>IF(C12=0,"",MAX('Deneme Girişi'!$W$5:$W$54))</f>
        <v/>
      </c>
      <c r="I12" s="19">
        <f>IF(C12=0,"",INDEX('Deneme Girişi'!$W$5:$W$54,MATCH(9.99E+307,'Deneme Girişi'!$W$5:$W$54)))</f>
        <v/>
      </c>
      <c r="J12" s="19">
        <f>Ayarlar!C8</f>
        <v/>
      </c>
      <c r="K12" s="19">
        <f>IF(C12=0,"",MAX(0,J12-I12))</f>
        <v/>
      </c>
      <c r="L12" s="32">
        <f>IF(OR(C12=0,B12=0),"",G12/B12)</f>
        <v/>
      </c>
      <c r="M12" s="30">
        <f>IF(L12="","—",IF(L12&gt;=0.75,"Güçlü",IF(L12&gt;=0.5,"Orta","Geliştirilmeli")))</f>
        <v/>
      </c>
      <c r="N12" s="30">
        <f>COUNTIF('Konu Takibi'!$C$4:$C$303,A12)</f>
        <v/>
      </c>
    </row>
    <row r="13">
      <c r="A13" s="33">
        <f>Ayarlar!A9</f>
        <v/>
      </c>
      <c r="B13" s="34">
        <f>IF(C13=0,"",(SUMPRODUCT(ISNUMBER('Deneme Girişi'!$AA$5:$AA$54)*'Deneme Girişi'!$Z$5:$Z$54)+Ayarlar!$B$9*SUMPRODUCT(ISNUMBER('Deneme Girişi'!$AA$5:$AA$54)*('Deneme Girişi'!$Z$5:$Z$54="")))/C13)</f>
        <v/>
      </c>
      <c r="C13" s="34">
        <f>COUNT('Deneme Girişi'!$AA$5:$AA$54)</f>
        <v/>
      </c>
      <c r="D13" s="35">
        <f>IF(C13=0,"",SUM('Deneme Girişi'!$X$5:$X$54)/C13)</f>
        <v/>
      </c>
      <c r="E13" s="35">
        <f>IF(C13=0,"",SUM('Deneme Girişi'!$Y$5:$Y$54)/C13)</f>
        <v/>
      </c>
      <c r="F13" s="35">
        <f>IF(C13=0,"",B13-D13-E13)</f>
        <v/>
      </c>
      <c r="G13" s="36">
        <f>IF(C13=0,"",AVERAGE('Deneme Girişi'!$AA$5:$AA$54))</f>
        <v/>
      </c>
      <c r="H13" s="35">
        <f>IF(C13=0,"",MAX('Deneme Girişi'!$AA$5:$AA$54))</f>
        <v/>
      </c>
      <c r="I13" s="35">
        <f>IF(C13=0,"",INDEX('Deneme Girişi'!$AA$5:$AA$54,MATCH(9.99E+307,'Deneme Girişi'!$AA$5:$AA$54)))</f>
        <v/>
      </c>
      <c r="J13" s="35">
        <f>Ayarlar!C9</f>
        <v/>
      </c>
      <c r="K13" s="35">
        <f>IF(C13=0,"",MAX(0,J13-I13))</f>
        <v/>
      </c>
      <c r="L13" s="37">
        <f>IF(OR(C13=0,B13=0),"",G13/B13)</f>
        <v/>
      </c>
      <c r="M13" s="34">
        <f>IF(L13="","—",IF(L13&gt;=0.75,"Güçlü",IF(L13&gt;=0.5,"Orta","Geliştirilmeli")))</f>
        <v/>
      </c>
      <c r="N13" s="34">
        <f>COUNTIF('Konu Takibi'!$C$4:$C$303,A13)</f>
        <v/>
      </c>
    </row>
    <row r="14">
      <c r="A14" s="29">
        <f>Ayarlar!A10</f>
        <v/>
      </c>
      <c r="B14" s="30">
        <f>IF(C14=0,"",(SUMPRODUCT(ISNUMBER('Deneme Girişi'!$AE$5:$AE$54)*'Deneme Girişi'!$AD$5:$AD$54)+Ayarlar!$B$10*SUMPRODUCT(ISNUMBER('Deneme Girişi'!$AE$5:$AE$54)*('Deneme Girişi'!$AD$5:$AD$54="")))/C14)</f>
        <v/>
      </c>
      <c r="C14" s="30">
        <f>COUNT('Deneme Girişi'!$AE$5:$AE$54)</f>
        <v/>
      </c>
      <c r="D14" s="19">
        <f>IF(C14=0,"",SUM('Deneme Girişi'!$AB$5:$AB$54)/C14)</f>
        <v/>
      </c>
      <c r="E14" s="19">
        <f>IF(C14=0,"",SUM('Deneme Girişi'!$AC$5:$AC$54)/C14)</f>
        <v/>
      </c>
      <c r="F14" s="19">
        <f>IF(C14=0,"",B14-D14-E14)</f>
        <v/>
      </c>
      <c r="G14" s="31">
        <f>IF(C14=0,"",AVERAGE('Deneme Girişi'!$AE$5:$AE$54))</f>
        <v/>
      </c>
      <c r="H14" s="19">
        <f>IF(C14=0,"",MAX('Deneme Girişi'!$AE$5:$AE$54))</f>
        <v/>
      </c>
      <c r="I14" s="19">
        <f>IF(C14=0,"",INDEX('Deneme Girişi'!$AE$5:$AE$54,MATCH(9.99E+307,'Deneme Girişi'!$AE$5:$AE$54)))</f>
        <v/>
      </c>
      <c r="J14" s="19">
        <f>Ayarlar!C10</f>
        <v/>
      </c>
      <c r="K14" s="19">
        <f>IF(C14=0,"",MAX(0,J14-I14))</f>
        <v/>
      </c>
      <c r="L14" s="32">
        <f>IF(OR(C14=0,B14=0),"",G14/B14)</f>
        <v/>
      </c>
      <c r="M14" s="30">
        <f>IF(L14="","—",IF(L14&gt;=0.75,"Güçlü",IF(L14&gt;=0.5,"Orta","Geliştirilmeli")))</f>
        <v/>
      </c>
      <c r="N14" s="30">
        <f>COUNTIF('Konu Takibi'!$C$4:$C$303,A14)</f>
        <v/>
      </c>
    </row>
    <row r="15">
      <c r="A15" s="33">
        <f>Ayarlar!A11</f>
        <v/>
      </c>
      <c r="B15" s="34">
        <f>IF(C15=0,"",(SUMPRODUCT(ISNUMBER('Deneme Girişi'!$AI$5:$AI$54)*'Deneme Girişi'!$AH$5:$AH$54)+Ayarlar!$B$11*SUMPRODUCT(ISNUMBER('Deneme Girişi'!$AI$5:$AI$54)*('Deneme Girişi'!$AH$5:$AH$54="")))/C15)</f>
        <v/>
      </c>
      <c r="C15" s="34">
        <f>COUNT('Deneme Girişi'!$AI$5:$AI$54)</f>
        <v/>
      </c>
      <c r="D15" s="35">
        <f>IF(C15=0,"",SUM('Deneme Girişi'!$AF$5:$AF$54)/C15)</f>
        <v/>
      </c>
      <c r="E15" s="35">
        <f>IF(C15=0,"",SUM('Deneme Girişi'!$AG$5:$AG$54)/C15)</f>
        <v/>
      </c>
      <c r="F15" s="35">
        <f>IF(C15=0,"",B15-D15-E15)</f>
        <v/>
      </c>
      <c r="G15" s="36">
        <f>IF(C15=0,"",AVERAGE('Deneme Girişi'!$AI$5:$AI$54))</f>
        <v/>
      </c>
      <c r="H15" s="35">
        <f>IF(C15=0,"",MAX('Deneme Girişi'!$AI$5:$AI$54))</f>
        <v/>
      </c>
      <c r="I15" s="35">
        <f>IF(C15=0,"",INDEX('Deneme Girişi'!$AI$5:$AI$54,MATCH(9.99E+307,'Deneme Girişi'!$AI$5:$AI$54)))</f>
        <v/>
      </c>
      <c r="J15" s="35">
        <f>Ayarlar!C11</f>
        <v/>
      </c>
      <c r="K15" s="35">
        <f>IF(C15=0,"",MAX(0,J15-I15))</f>
        <v/>
      </c>
      <c r="L15" s="37">
        <f>IF(OR(C15=0,B15=0),"",G15/B15)</f>
        <v/>
      </c>
      <c r="M15" s="34">
        <f>IF(L15="","—",IF(L15&gt;=0.75,"Güçlü",IF(L15&gt;=0.5,"Orta","Geliştirilmeli")))</f>
        <v/>
      </c>
      <c r="N15" s="34">
        <f>COUNTIF('Konu Takibi'!$C$4:$C$303,A15)</f>
        <v/>
      </c>
    </row>
    <row r="16">
      <c r="A16" s="38" t="inlineStr">
        <is>
          <t>TOPLAM</t>
        </is>
      </c>
      <c r="B16" s="39">
        <f>IF(C16=0,"",AVERAGE('Deneme Girişi'!$AL$5:$AL$54))</f>
        <v/>
      </c>
      <c r="C16" s="39">
        <f>COUNT('Deneme Girişi'!$AN$5:$AN$54)</f>
        <v/>
      </c>
      <c r="D16" s="40">
        <f>IF(C16=0,"",AVERAGE('Deneme Girişi'!$AJ$5:$AJ$54))</f>
        <v/>
      </c>
      <c r="E16" s="40">
        <f>IF(C16=0,"",AVERAGE('Deneme Girişi'!$AK$5:$AK$54))</f>
        <v/>
      </c>
      <c r="F16" s="40">
        <f>IF(C16=0,"",AVERAGE('Deneme Girişi'!$AM$5:$AM$54))</f>
        <v/>
      </c>
      <c r="G16" s="40">
        <f>IF(C16=0,"",AVERAGE('Deneme Girişi'!$AN$5:$AN$54))</f>
        <v/>
      </c>
      <c r="H16" s="40">
        <f>IF(C16=0,"",MAX('Deneme Girişi'!$AN$5:$AN$54))</f>
        <v/>
      </c>
      <c r="I16" s="40">
        <f>D4</f>
        <v/>
      </c>
      <c r="J16" s="40">
        <f>SUM(J8:J15)</f>
        <v/>
      </c>
      <c r="K16" s="40">
        <f>IF(OR(I16="",J16=""),"",MAX(0,J16-I16))</f>
        <v/>
      </c>
      <c r="L16" s="41">
        <f>IF(OR(G16="",B16=0),"",G16/B16)</f>
        <v/>
      </c>
      <c r="M16" s="39">
        <f>IF(L16="","—",IF(L16&gt;=0.75,"Güçlü",IF(L16&gt;=0.5,"Orta","Geliştirilmeli")))</f>
        <v/>
      </c>
      <c r="N16" s="39">
        <f>SUM(N8:N15)</f>
        <v/>
      </c>
    </row>
    <row r="17">
      <c r="A17" s="5" t="inlineStr">
        <is>
          <t>Başarı % = toplam net ÷ çözülen toplam soru (soru sayısı farklı denemeler de adil karşılaştırılır). Hedef net, Ayarlar'daki varsayılan soru sayısına göredir.  Güçlü ≥ %75 · Orta ≥ %50 · altı Geliştirilmeli.</t>
        </is>
      </c>
    </row>
    <row r="19">
      <c r="A19" s="42" t="inlineStr">
        <is>
          <t>Tahmini TYT Puanı (yaklaşık)</t>
        </is>
      </c>
    </row>
    <row r="20">
      <c r="A20" s="9" t="inlineStr">
        <is>
          <t>TYT Testi</t>
        </is>
      </c>
      <c r="B20" s="9" t="inlineStr">
        <is>
          <t>Soru</t>
        </is>
      </c>
      <c r="C20" s="9" t="inlineStr">
        <is>
          <t>Katsayı</t>
        </is>
      </c>
      <c r="D20" s="9" t="inlineStr">
        <is>
          <t>Ort. Tahmini Net</t>
        </is>
      </c>
      <c r="E20" s="9" t="inlineStr">
        <is>
          <t>Son Denemede</t>
        </is>
      </c>
      <c r="F20" s="9" t="inlineStr">
        <is>
          <t>Puana Katkı (ort.)</t>
        </is>
      </c>
    </row>
    <row r="21">
      <c r="A21" s="43">
        <f>Ayarlar!E21</f>
        <v/>
      </c>
      <c r="B21" s="15">
        <f>Ayarlar!F21</f>
        <v/>
      </c>
      <c r="C21" s="19">
        <f>Ayarlar!G21</f>
        <v/>
      </c>
      <c r="D21" s="19">
        <f>IF(COUNT('Deneme Girişi'!$AQ$5:$AQ$54)=0,"",AVERAGE('Deneme Girişi'!$AQ$5:$AQ$54))</f>
        <v/>
      </c>
      <c r="E21" s="19">
        <f>IF(COUNT('Deneme Girişi'!$AQ$5:$AQ$54)=0,"",INDEX('Deneme Girişi'!$AQ$5:$AQ$54,MATCH(9.99E+307,'Deneme Girişi'!$AQ$5:$AQ$54)))</f>
        <v/>
      </c>
      <c r="F21" s="30">
        <f>IF(D21="","",D21*C21)</f>
        <v/>
      </c>
    </row>
    <row r="22">
      <c r="A22" s="43">
        <f>Ayarlar!E22</f>
        <v/>
      </c>
      <c r="B22" s="15">
        <f>Ayarlar!F22</f>
        <v/>
      </c>
      <c r="C22" s="19">
        <f>Ayarlar!G22</f>
        <v/>
      </c>
      <c r="D22" s="19">
        <f>IF(COUNT('Deneme Girişi'!$AR$5:$AR$54)=0,"",AVERAGE('Deneme Girişi'!$AR$5:$AR$54))</f>
        <v/>
      </c>
      <c r="E22" s="19">
        <f>IF(COUNT('Deneme Girişi'!$AR$5:$AR$54)=0,"",INDEX('Deneme Girişi'!$AR$5:$AR$54,MATCH(9.99E+307,'Deneme Girişi'!$AR$5:$AR$54)))</f>
        <v/>
      </c>
      <c r="F22" s="30">
        <f>IF(D22="","",D22*C22)</f>
        <v/>
      </c>
    </row>
    <row r="23">
      <c r="A23" s="43">
        <f>Ayarlar!E23</f>
        <v/>
      </c>
      <c r="B23" s="15">
        <f>Ayarlar!F23</f>
        <v/>
      </c>
      <c r="C23" s="19">
        <f>Ayarlar!G23</f>
        <v/>
      </c>
      <c r="D23" s="19">
        <f>IF(COUNT('Deneme Girişi'!$AS$5:$AS$54)=0,"",AVERAGE('Deneme Girişi'!$AS$5:$AS$54))</f>
        <v/>
      </c>
      <c r="E23" s="19">
        <f>IF(COUNT('Deneme Girişi'!$AS$5:$AS$54)=0,"",INDEX('Deneme Girişi'!$AS$5:$AS$54,MATCH(9.99E+307,'Deneme Girişi'!$AS$5:$AS$54)))</f>
        <v/>
      </c>
      <c r="F23" s="30">
        <f>IF(D23="","",D23*C23)</f>
        <v/>
      </c>
    </row>
    <row r="24">
      <c r="A24" s="43">
        <f>Ayarlar!E24</f>
        <v/>
      </c>
      <c r="B24" s="15">
        <f>Ayarlar!F24</f>
        <v/>
      </c>
      <c r="C24" s="19">
        <f>Ayarlar!G24</f>
        <v/>
      </c>
      <c r="D24" s="19">
        <f>IF(COUNT('Deneme Girişi'!$AT$5:$AT$54)=0,"",AVERAGE('Deneme Girişi'!$AT$5:$AT$54))</f>
        <v/>
      </c>
      <c r="E24" s="19">
        <f>IF(COUNT('Deneme Girişi'!$AT$5:$AT$54)=0,"",INDEX('Deneme Girişi'!$AT$5:$AT$54,MATCH(9.99E+307,'Deneme Girişi'!$AT$5:$AT$54)))</f>
        <v/>
      </c>
      <c r="F24" s="30">
        <f>IF(D24="","",D24*C24)</f>
        <v/>
      </c>
    </row>
    <row r="25">
      <c r="A25" s="44" t="inlineStr">
        <is>
          <t>Taban puan</t>
        </is>
      </c>
      <c r="B25" s="45" t="n"/>
      <c r="C25" s="45" t="n"/>
      <c r="D25" s="45" t="n"/>
      <c r="E25" s="46" t="n"/>
      <c r="F25" s="46">
        <f>Ayarlar!$F$25</f>
        <v/>
      </c>
    </row>
    <row r="26">
      <c r="A26" s="47" t="inlineStr">
        <is>
          <t>TAHMİNİ PUAN (ortalama)</t>
        </is>
      </c>
      <c r="B26" s="48" t="n"/>
      <c r="C26" s="48" t="n"/>
      <c r="D26" s="48" t="inlineStr">
        <is>
          <t>son deneme →</t>
        </is>
      </c>
      <c r="E26" s="49">
        <f>IF(COUNT('Deneme Girişi'!$AU$5:$AU$54)=0,"",H4)</f>
        <v/>
      </c>
      <c r="F26" s="49">
        <f>IF(COUNT('Deneme Girişi'!$AU$5:$AU$54)=0,"",AVERAGE('Deneme Girişi'!$AU$5:$AU$54))</f>
        <v/>
      </c>
    </row>
    <row r="27">
      <c r="A27" s="5" t="inlineStr">
        <is>
          <t>Kaba bir tahmindir: 9. sınıf konuları TYT'nin sadece bir kısmını kapsar ve ÖSYM puanı her yıl tüm adayların sonuçlarına göre hesaplanır. Her test için: o teste sayılan derslerdeki başarı % × TYT soru sayısı.</t>
        </is>
      </c>
    </row>
    <row r="31">
      <c r="A31" s="28" t="inlineStr">
        <is>
          <t>Hata Nedeni Analizi (Konu Takibi defterinden)</t>
        </is>
      </c>
    </row>
    <row r="32" ht="42" customHeight="1">
      <c r="A32" s="6" t="inlineStr">
        <is>
          <t>Ders</t>
        </is>
      </c>
      <c r="B32" s="7">
        <f>Ayarlar!E4</f>
        <v/>
      </c>
      <c r="C32" s="7">
        <f>Ayarlar!E5</f>
        <v/>
      </c>
      <c r="D32" s="7">
        <f>Ayarlar!E6</f>
        <v/>
      </c>
      <c r="E32" s="7">
        <f>Ayarlar!E7</f>
        <v/>
      </c>
      <c r="F32" s="7">
        <f>Ayarlar!E8</f>
        <v/>
      </c>
      <c r="G32" s="7">
        <f>Ayarlar!E9</f>
        <v/>
      </c>
      <c r="H32" s="7">
        <f>Ayarlar!E10</f>
        <v/>
      </c>
      <c r="I32" s="6" t="inlineStr">
        <is>
          <t>Toplam</t>
        </is>
      </c>
      <c r="J32" s="6" t="inlineStr">
        <is>
          <t>Tekrar Çalışılmamış</t>
        </is>
      </c>
    </row>
    <row r="33">
      <c r="A33" s="43">
        <f>Ayarlar!A4</f>
        <v/>
      </c>
      <c r="B33" s="15">
        <f>COUNTIFS('Konu Takibi'!$C$4:$C$303,$A33,'Konu Takibi'!$G$4:$G$303,B$32)</f>
        <v/>
      </c>
      <c r="C33" s="15">
        <f>COUNTIFS('Konu Takibi'!$C$4:$C$303,$A33,'Konu Takibi'!$G$4:$G$303,C$32)</f>
        <v/>
      </c>
      <c r="D33" s="15">
        <f>COUNTIFS('Konu Takibi'!$C$4:$C$303,$A33,'Konu Takibi'!$G$4:$G$303,D$32)</f>
        <v/>
      </c>
      <c r="E33" s="15">
        <f>COUNTIFS('Konu Takibi'!$C$4:$C$303,$A33,'Konu Takibi'!$G$4:$G$303,E$32)</f>
        <v/>
      </c>
      <c r="F33" s="15">
        <f>COUNTIFS('Konu Takibi'!$C$4:$C$303,$A33,'Konu Takibi'!$G$4:$G$303,F$32)</f>
        <v/>
      </c>
      <c r="G33" s="15">
        <f>COUNTIFS('Konu Takibi'!$C$4:$C$303,$A33,'Konu Takibi'!$G$4:$G$303,G$32)</f>
        <v/>
      </c>
      <c r="H33" s="15">
        <f>COUNTIFS('Konu Takibi'!$C$4:$C$303,$A33,'Konu Takibi'!$G$4:$G$303,H$32)</f>
        <v/>
      </c>
      <c r="I33" s="15">
        <f>SUM(B33:H33)</f>
        <v/>
      </c>
      <c r="J33" s="15">
        <f>COUNTIFS('Konu Takibi'!$C$4:$C$303,$A33,'Konu Takibi'!$H$4:$H$303,"&lt;&gt;Evet")</f>
        <v/>
      </c>
    </row>
    <row r="34">
      <c r="A34" s="43">
        <f>Ayarlar!A5</f>
        <v/>
      </c>
      <c r="B34" s="15">
        <f>COUNTIFS('Konu Takibi'!$C$4:$C$303,$A34,'Konu Takibi'!$G$4:$G$303,B$32)</f>
        <v/>
      </c>
      <c r="C34" s="15">
        <f>COUNTIFS('Konu Takibi'!$C$4:$C$303,$A34,'Konu Takibi'!$G$4:$G$303,C$32)</f>
        <v/>
      </c>
      <c r="D34" s="15">
        <f>COUNTIFS('Konu Takibi'!$C$4:$C$303,$A34,'Konu Takibi'!$G$4:$G$303,D$32)</f>
        <v/>
      </c>
      <c r="E34" s="15">
        <f>COUNTIFS('Konu Takibi'!$C$4:$C$303,$A34,'Konu Takibi'!$G$4:$G$303,E$32)</f>
        <v/>
      </c>
      <c r="F34" s="15">
        <f>COUNTIFS('Konu Takibi'!$C$4:$C$303,$A34,'Konu Takibi'!$G$4:$G$303,F$32)</f>
        <v/>
      </c>
      <c r="G34" s="15">
        <f>COUNTIFS('Konu Takibi'!$C$4:$C$303,$A34,'Konu Takibi'!$G$4:$G$303,G$32)</f>
        <v/>
      </c>
      <c r="H34" s="15">
        <f>COUNTIFS('Konu Takibi'!$C$4:$C$303,$A34,'Konu Takibi'!$G$4:$G$303,H$32)</f>
        <v/>
      </c>
      <c r="I34" s="15">
        <f>SUM(B34:H34)</f>
        <v/>
      </c>
      <c r="J34" s="15">
        <f>COUNTIFS('Konu Takibi'!$C$4:$C$303,$A34,'Konu Takibi'!$H$4:$H$303,"&lt;&gt;Evet")</f>
        <v/>
      </c>
    </row>
    <row r="35">
      <c r="A35" s="43">
        <f>Ayarlar!A6</f>
        <v/>
      </c>
      <c r="B35" s="15">
        <f>COUNTIFS('Konu Takibi'!$C$4:$C$303,$A35,'Konu Takibi'!$G$4:$G$303,B$32)</f>
        <v/>
      </c>
      <c r="C35" s="15">
        <f>COUNTIFS('Konu Takibi'!$C$4:$C$303,$A35,'Konu Takibi'!$G$4:$G$303,C$32)</f>
        <v/>
      </c>
      <c r="D35" s="15">
        <f>COUNTIFS('Konu Takibi'!$C$4:$C$303,$A35,'Konu Takibi'!$G$4:$G$303,D$32)</f>
        <v/>
      </c>
      <c r="E35" s="15">
        <f>COUNTIFS('Konu Takibi'!$C$4:$C$303,$A35,'Konu Takibi'!$G$4:$G$303,E$32)</f>
        <v/>
      </c>
      <c r="F35" s="15">
        <f>COUNTIFS('Konu Takibi'!$C$4:$C$303,$A35,'Konu Takibi'!$G$4:$G$303,F$32)</f>
        <v/>
      </c>
      <c r="G35" s="15">
        <f>COUNTIFS('Konu Takibi'!$C$4:$C$303,$A35,'Konu Takibi'!$G$4:$G$303,G$32)</f>
        <v/>
      </c>
      <c r="H35" s="15">
        <f>COUNTIFS('Konu Takibi'!$C$4:$C$303,$A35,'Konu Takibi'!$G$4:$G$303,H$32)</f>
        <v/>
      </c>
      <c r="I35" s="15">
        <f>SUM(B35:H35)</f>
        <v/>
      </c>
      <c r="J35" s="15">
        <f>COUNTIFS('Konu Takibi'!$C$4:$C$303,$A35,'Konu Takibi'!$H$4:$H$303,"&lt;&gt;Evet")</f>
        <v/>
      </c>
    </row>
    <row r="36">
      <c r="A36" s="43">
        <f>Ayarlar!A7</f>
        <v/>
      </c>
      <c r="B36" s="15">
        <f>COUNTIFS('Konu Takibi'!$C$4:$C$303,$A36,'Konu Takibi'!$G$4:$G$303,B$32)</f>
        <v/>
      </c>
      <c r="C36" s="15">
        <f>COUNTIFS('Konu Takibi'!$C$4:$C$303,$A36,'Konu Takibi'!$G$4:$G$303,C$32)</f>
        <v/>
      </c>
      <c r="D36" s="15">
        <f>COUNTIFS('Konu Takibi'!$C$4:$C$303,$A36,'Konu Takibi'!$G$4:$G$303,D$32)</f>
        <v/>
      </c>
      <c r="E36" s="15">
        <f>COUNTIFS('Konu Takibi'!$C$4:$C$303,$A36,'Konu Takibi'!$G$4:$G$303,E$32)</f>
        <v/>
      </c>
      <c r="F36" s="15">
        <f>COUNTIFS('Konu Takibi'!$C$4:$C$303,$A36,'Konu Takibi'!$G$4:$G$303,F$32)</f>
        <v/>
      </c>
      <c r="G36" s="15">
        <f>COUNTIFS('Konu Takibi'!$C$4:$C$303,$A36,'Konu Takibi'!$G$4:$G$303,G$32)</f>
        <v/>
      </c>
      <c r="H36" s="15">
        <f>COUNTIFS('Konu Takibi'!$C$4:$C$303,$A36,'Konu Takibi'!$G$4:$G$303,H$32)</f>
        <v/>
      </c>
      <c r="I36" s="15">
        <f>SUM(B36:H36)</f>
        <v/>
      </c>
      <c r="J36" s="15">
        <f>COUNTIFS('Konu Takibi'!$C$4:$C$303,$A36,'Konu Takibi'!$H$4:$H$303,"&lt;&gt;Evet")</f>
        <v/>
      </c>
    </row>
    <row r="37">
      <c r="A37" s="43">
        <f>Ayarlar!A8</f>
        <v/>
      </c>
      <c r="B37" s="15">
        <f>COUNTIFS('Konu Takibi'!$C$4:$C$303,$A37,'Konu Takibi'!$G$4:$G$303,B$32)</f>
        <v/>
      </c>
      <c r="C37" s="15">
        <f>COUNTIFS('Konu Takibi'!$C$4:$C$303,$A37,'Konu Takibi'!$G$4:$G$303,C$32)</f>
        <v/>
      </c>
      <c r="D37" s="15">
        <f>COUNTIFS('Konu Takibi'!$C$4:$C$303,$A37,'Konu Takibi'!$G$4:$G$303,D$32)</f>
        <v/>
      </c>
      <c r="E37" s="15">
        <f>COUNTIFS('Konu Takibi'!$C$4:$C$303,$A37,'Konu Takibi'!$G$4:$G$303,E$32)</f>
        <v/>
      </c>
      <c r="F37" s="15">
        <f>COUNTIFS('Konu Takibi'!$C$4:$C$303,$A37,'Konu Takibi'!$G$4:$G$303,F$32)</f>
        <v/>
      </c>
      <c r="G37" s="15">
        <f>COUNTIFS('Konu Takibi'!$C$4:$C$303,$A37,'Konu Takibi'!$G$4:$G$303,G$32)</f>
        <v/>
      </c>
      <c r="H37" s="15">
        <f>COUNTIFS('Konu Takibi'!$C$4:$C$303,$A37,'Konu Takibi'!$G$4:$G$303,H$32)</f>
        <v/>
      </c>
      <c r="I37" s="15">
        <f>SUM(B37:H37)</f>
        <v/>
      </c>
      <c r="J37" s="15">
        <f>COUNTIFS('Konu Takibi'!$C$4:$C$303,$A37,'Konu Takibi'!$H$4:$H$303,"&lt;&gt;Evet")</f>
        <v/>
      </c>
    </row>
    <row r="38">
      <c r="A38" s="43">
        <f>Ayarlar!A9</f>
        <v/>
      </c>
      <c r="B38" s="15">
        <f>COUNTIFS('Konu Takibi'!$C$4:$C$303,$A38,'Konu Takibi'!$G$4:$G$303,B$32)</f>
        <v/>
      </c>
      <c r="C38" s="15">
        <f>COUNTIFS('Konu Takibi'!$C$4:$C$303,$A38,'Konu Takibi'!$G$4:$G$303,C$32)</f>
        <v/>
      </c>
      <c r="D38" s="15">
        <f>COUNTIFS('Konu Takibi'!$C$4:$C$303,$A38,'Konu Takibi'!$G$4:$G$303,D$32)</f>
        <v/>
      </c>
      <c r="E38" s="15">
        <f>COUNTIFS('Konu Takibi'!$C$4:$C$303,$A38,'Konu Takibi'!$G$4:$G$303,E$32)</f>
        <v/>
      </c>
      <c r="F38" s="15">
        <f>COUNTIFS('Konu Takibi'!$C$4:$C$303,$A38,'Konu Takibi'!$G$4:$G$303,F$32)</f>
        <v/>
      </c>
      <c r="G38" s="15">
        <f>COUNTIFS('Konu Takibi'!$C$4:$C$303,$A38,'Konu Takibi'!$G$4:$G$303,G$32)</f>
        <v/>
      </c>
      <c r="H38" s="15">
        <f>COUNTIFS('Konu Takibi'!$C$4:$C$303,$A38,'Konu Takibi'!$G$4:$G$303,H$32)</f>
        <v/>
      </c>
      <c r="I38" s="15">
        <f>SUM(B38:H38)</f>
        <v/>
      </c>
      <c r="J38" s="15">
        <f>COUNTIFS('Konu Takibi'!$C$4:$C$303,$A38,'Konu Takibi'!$H$4:$H$303,"&lt;&gt;Evet")</f>
        <v/>
      </c>
    </row>
    <row r="39">
      <c r="A39" s="43">
        <f>Ayarlar!A10</f>
        <v/>
      </c>
      <c r="B39" s="15">
        <f>COUNTIFS('Konu Takibi'!$C$4:$C$303,$A39,'Konu Takibi'!$G$4:$G$303,B$32)</f>
        <v/>
      </c>
      <c r="C39" s="15">
        <f>COUNTIFS('Konu Takibi'!$C$4:$C$303,$A39,'Konu Takibi'!$G$4:$G$303,C$32)</f>
        <v/>
      </c>
      <c r="D39" s="15">
        <f>COUNTIFS('Konu Takibi'!$C$4:$C$303,$A39,'Konu Takibi'!$G$4:$G$303,D$32)</f>
        <v/>
      </c>
      <c r="E39" s="15">
        <f>COUNTIFS('Konu Takibi'!$C$4:$C$303,$A39,'Konu Takibi'!$G$4:$G$303,E$32)</f>
        <v/>
      </c>
      <c r="F39" s="15">
        <f>COUNTIFS('Konu Takibi'!$C$4:$C$303,$A39,'Konu Takibi'!$G$4:$G$303,F$32)</f>
        <v/>
      </c>
      <c r="G39" s="15">
        <f>COUNTIFS('Konu Takibi'!$C$4:$C$303,$A39,'Konu Takibi'!$G$4:$G$303,G$32)</f>
        <v/>
      </c>
      <c r="H39" s="15">
        <f>COUNTIFS('Konu Takibi'!$C$4:$C$303,$A39,'Konu Takibi'!$G$4:$G$303,H$32)</f>
        <v/>
      </c>
      <c r="I39" s="15">
        <f>SUM(B39:H39)</f>
        <v/>
      </c>
      <c r="J39" s="15">
        <f>COUNTIFS('Konu Takibi'!$C$4:$C$303,$A39,'Konu Takibi'!$H$4:$H$303,"&lt;&gt;Evet")</f>
        <v/>
      </c>
    </row>
    <row r="40">
      <c r="A40" s="43">
        <f>Ayarlar!A11</f>
        <v/>
      </c>
      <c r="B40" s="15">
        <f>COUNTIFS('Konu Takibi'!$C$4:$C$303,$A40,'Konu Takibi'!$G$4:$G$303,B$32)</f>
        <v/>
      </c>
      <c r="C40" s="15">
        <f>COUNTIFS('Konu Takibi'!$C$4:$C$303,$A40,'Konu Takibi'!$G$4:$G$303,C$32)</f>
        <v/>
      </c>
      <c r="D40" s="15">
        <f>COUNTIFS('Konu Takibi'!$C$4:$C$303,$A40,'Konu Takibi'!$G$4:$G$303,D$32)</f>
        <v/>
      </c>
      <c r="E40" s="15">
        <f>COUNTIFS('Konu Takibi'!$C$4:$C$303,$A40,'Konu Takibi'!$G$4:$G$303,E$32)</f>
        <v/>
      </c>
      <c r="F40" s="15">
        <f>COUNTIFS('Konu Takibi'!$C$4:$C$303,$A40,'Konu Takibi'!$G$4:$G$303,F$32)</f>
        <v/>
      </c>
      <c r="G40" s="15">
        <f>COUNTIFS('Konu Takibi'!$C$4:$C$303,$A40,'Konu Takibi'!$G$4:$G$303,G$32)</f>
        <v/>
      </c>
      <c r="H40" s="15">
        <f>COUNTIFS('Konu Takibi'!$C$4:$C$303,$A40,'Konu Takibi'!$G$4:$G$303,H$32)</f>
        <v/>
      </c>
      <c r="I40" s="15">
        <f>SUM(B40:H40)</f>
        <v/>
      </c>
      <c r="J40" s="15">
        <f>COUNTIFS('Konu Takibi'!$C$4:$C$303,$A40,'Konu Takibi'!$H$4:$H$303,"&lt;&gt;Evet")</f>
        <v/>
      </c>
    </row>
    <row r="41">
      <c r="A41" s="50" t="inlineStr">
        <is>
          <t>TOPLAM</t>
        </is>
      </c>
      <c r="B41" s="51">
        <f>SUM(B33:B40)</f>
        <v/>
      </c>
      <c r="C41" s="51">
        <f>SUM(C33:C40)</f>
        <v/>
      </c>
      <c r="D41" s="51">
        <f>SUM(D33:D40)</f>
        <v/>
      </c>
      <c r="E41" s="51">
        <f>SUM(E33:E40)</f>
        <v/>
      </c>
      <c r="F41" s="51">
        <f>SUM(F33:F40)</f>
        <v/>
      </c>
      <c r="G41" s="51">
        <f>SUM(G33:G40)</f>
        <v/>
      </c>
      <c r="H41" s="51">
        <f>SUM(H33:H40)</f>
        <v/>
      </c>
      <c r="I41" s="51">
        <f>SUM(B41:H41)</f>
        <v/>
      </c>
      <c r="J41" s="51">
        <f>SUM(J33:J40)</f>
        <v/>
      </c>
    </row>
    <row r="44">
      <c r="A44" s="28" t="inlineStr">
        <is>
          <t>Ders seç  ▶</t>
        </is>
      </c>
      <c r="B44" s="52" t="inlineStr">
        <is>
          <t>Matematik</t>
        </is>
      </c>
      <c r="C44" s="53" t="n"/>
      <c r="D44" s="54" t="n"/>
      <c r="F44" s="55">
        <f>IFERROR("Bu dersin hedef neti: "&amp;TEXT(INDEX(Ayarlar!$C$4:$C$11,MATCH($B$44,Ayarlar!$A$4:$A$11,0)),"0"),"")</f>
        <v/>
      </c>
    </row>
    <row r="46">
      <c r="A46" s="7" t="inlineStr">
        <is>
          <t>No</t>
        </is>
      </c>
      <c r="B46" s="7" t="inlineStr">
        <is>
          <t>Deneme</t>
        </is>
      </c>
      <c r="C46" s="7" t="inlineStr">
        <is>
          <t>Seçili Ders Net</t>
        </is>
      </c>
      <c r="D46" s="7" t="inlineStr">
        <is>
          <t>Seçili Ders Başarı %</t>
        </is>
      </c>
      <c r="E46" s="7" t="inlineStr">
        <is>
          <t>Toplam Başarı %</t>
        </is>
      </c>
      <c r="F46" s="7" t="inlineStr">
        <is>
          <t>Tahmini TYT</t>
        </is>
      </c>
    </row>
    <row r="47">
      <c r="A47" s="56" t="n">
        <v>1</v>
      </c>
      <c r="B47" s="56">
        <f>IF('Deneme Girişi'!C5="","",'Deneme Girişi'!C5)</f>
        <v/>
      </c>
      <c r="C47" s="57">
        <f>IFERROR(INDEX('Deneme Girişi'!$D$5:$AI$54,1,(MATCH($B$44,Ayarlar!$A$4:$A$11,0)-1)*4+4),"")</f>
        <v/>
      </c>
      <c r="D47" s="58">
        <f>IFERROR(IF(C47="","",C47/IF(INDEX('Deneme Girişi'!$D$5:$AI$54,1,(MATCH($B$44,Ayarlar!$A$4:$A$11,0)-1)*4+3)="",INDEX(Ayarlar!$B$4:$B$11,MATCH($B$44,Ayarlar!$A$4:$A$11,0)),INDEX('Deneme Girişi'!$D$5:$AI$54,1,(MATCH($B$44,Ayarlar!$A$4:$A$11,0)-1)*4+3))),"")</f>
        <v/>
      </c>
      <c r="E47" s="58">
        <f>'Deneme Girişi'!AO5</f>
        <v/>
      </c>
      <c r="F47" s="59">
        <f>'Deneme Girişi'!AU5</f>
        <v/>
      </c>
    </row>
    <row r="48">
      <c r="A48" s="56" t="n">
        <v>2</v>
      </c>
      <c r="B48" s="56">
        <f>IF('Deneme Girişi'!C6="","",'Deneme Girişi'!C6)</f>
        <v/>
      </c>
      <c r="C48" s="57">
        <f>IFERROR(INDEX('Deneme Girişi'!$D$5:$AI$54,2,(MATCH($B$44,Ayarlar!$A$4:$A$11,0)-1)*4+4),"")</f>
        <v/>
      </c>
      <c r="D48" s="58">
        <f>IFERROR(IF(C48="","",C48/IF(INDEX('Deneme Girişi'!$D$5:$AI$54,2,(MATCH($B$44,Ayarlar!$A$4:$A$11,0)-1)*4+3)="",INDEX(Ayarlar!$B$4:$B$11,MATCH($B$44,Ayarlar!$A$4:$A$11,0)),INDEX('Deneme Girişi'!$D$5:$AI$54,2,(MATCH($B$44,Ayarlar!$A$4:$A$11,0)-1)*4+3))),"")</f>
        <v/>
      </c>
      <c r="E48" s="58">
        <f>'Deneme Girişi'!AO6</f>
        <v/>
      </c>
      <c r="F48" s="59">
        <f>'Deneme Girişi'!AU6</f>
        <v/>
      </c>
    </row>
    <row r="49">
      <c r="A49" s="56" t="n">
        <v>3</v>
      </c>
      <c r="B49" s="56">
        <f>IF('Deneme Girişi'!C7="","",'Deneme Girişi'!C7)</f>
        <v/>
      </c>
      <c r="C49" s="57">
        <f>IFERROR(INDEX('Deneme Girişi'!$D$5:$AI$54,3,(MATCH($B$44,Ayarlar!$A$4:$A$11,0)-1)*4+4),"")</f>
        <v/>
      </c>
      <c r="D49" s="58">
        <f>IFERROR(IF(C49="","",C49/IF(INDEX('Deneme Girişi'!$D$5:$AI$54,3,(MATCH($B$44,Ayarlar!$A$4:$A$11,0)-1)*4+3)="",INDEX(Ayarlar!$B$4:$B$11,MATCH($B$44,Ayarlar!$A$4:$A$11,0)),INDEX('Deneme Girişi'!$D$5:$AI$54,3,(MATCH($B$44,Ayarlar!$A$4:$A$11,0)-1)*4+3))),"")</f>
        <v/>
      </c>
      <c r="E49" s="58">
        <f>'Deneme Girişi'!AO7</f>
        <v/>
      </c>
      <c r="F49" s="59">
        <f>'Deneme Girişi'!AU7</f>
        <v/>
      </c>
    </row>
    <row r="50">
      <c r="A50" s="56" t="n">
        <v>4</v>
      </c>
      <c r="B50" s="56">
        <f>IF('Deneme Girişi'!C8="","",'Deneme Girişi'!C8)</f>
        <v/>
      </c>
      <c r="C50" s="57">
        <f>IFERROR(INDEX('Deneme Girişi'!$D$5:$AI$54,4,(MATCH($B$44,Ayarlar!$A$4:$A$11,0)-1)*4+4),"")</f>
        <v/>
      </c>
      <c r="D50" s="58">
        <f>IFERROR(IF(C50="","",C50/IF(INDEX('Deneme Girişi'!$D$5:$AI$54,4,(MATCH($B$44,Ayarlar!$A$4:$A$11,0)-1)*4+3)="",INDEX(Ayarlar!$B$4:$B$11,MATCH($B$44,Ayarlar!$A$4:$A$11,0)),INDEX('Deneme Girişi'!$D$5:$AI$54,4,(MATCH($B$44,Ayarlar!$A$4:$A$11,0)-1)*4+3))),"")</f>
        <v/>
      </c>
      <c r="E50" s="58">
        <f>'Deneme Girişi'!AO8</f>
        <v/>
      </c>
      <c r="F50" s="59">
        <f>'Deneme Girişi'!AU8</f>
        <v/>
      </c>
    </row>
    <row r="51">
      <c r="A51" s="56" t="n">
        <v>5</v>
      </c>
      <c r="B51" s="56">
        <f>IF('Deneme Girişi'!C9="","",'Deneme Girişi'!C9)</f>
        <v/>
      </c>
      <c r="C51" s="57">
        <f>IFERROR(INDEX('Deneme Girişi'!$D$5:$AI$54,5,(MATCH($B$44,Ayarlar!$A$4:$A$11,0)-1)*4+4),"")</f>
        <v/>
      </c>
      <c r="D51" s="58">
        <f>IFERROR(IF(C51="","",C51/IF(INDEX('Deneme Girişi'!$D$5:$AI$54,5,(MATCH($B$44,Ayarlar!$A$4:$A$11,0)-1)*4+3)="",INDEX(Ayarlar!$B$4:$B$11,MATCH($B$44,Ayarlar!$A$4:$A$11,0)),INDEX('Deneme Girişi'!$D$5:$AI$54,5,(MATCH($B$44,Ayarlar!$A$4:$A$11,0)-1)*4+3))),"")</f>
        <v/>
      </c>
      <c r="E51" s="58">
        <f>'Deneme Girişi'!AO9</f>
        <v/>
      </c>
      <c r="F51" s="59">
        <f>'Deneme Girişi'!AU9</f>
        <v/>
      </c>
    </row>
    <row r="52">
      <c r="A52" s="56" t="n">
        <v>6</v>
      </c>
      <c r="B52" s="56">
        <f>IF('Deneme Girişi'!C10="","",'Deneme Girişi'!C10)</f>
        <v/>
      </c>
      <c r="C52" s="57">
        <f>IFERROR(INDEX('Deneme Girişi'!$D$5:$AI$54,6,(MATCH($B$44,Ayarlar!$A$4:$A$11,0)-1)*4+4),"")</f>
        <v/>
      </c>
      <c r="D52" s="58">
        <f>IFERROR(IF(C52="","",C52/IF(INDEX('Deneme Girişi'!$D$5:$AI$54,6,(MATCH($B$44,Ayarlar!$A$4:$A$11,0)-1)*4+3)="",INDEX(Ayarlar!$B$4:$B$11,MATCH($B$44,Ayarlar!$A$4:$A$11,0)),INDEX('Deneme Girişi'!$D$5:$AI$54,6,(MATCH($B$44,Ayarlar!$A$4:$A$11,0)-1)*4+3))),"")</f>
        <v/>
      </c>
      <c r="E52" s="58">
        <f>'Deneme Girişi'!AO10</f>
        <v/>
      </c>
      <c r="F52" s="59">
        <f>'Deneme Girişi'!AU10</f>
        <v/>
      </c>
    </row>
    <row r="53">
      <c r="A53" s="56" t="n">
        <v>7</v>
      </c>
      <c r="B53" s="56">
        <f>IF('Deneme Girişi'!C11="","",'Deneme Girişi'!C11)</f>
        <v/>
      </c>
      <c r="C53" s="57">
        <f>IFERROR(INDEX('Deneme Girişi'!$D$5:$AI$54,7,(MATCH($B$44,Ayarlar!$A$4:$A$11,0)-1)*4+4),"")</f>
        <v/>
      </c>
      <c r="D53" s="58">
        <f>IFERROR(IF(C53="","",C53/IF(INDEX('Deneme Girişi'!$D$5:$AI$54,7,(MATCH($B$44,Ayarlar!$A$4:$A$11,0)-1)*4+3)="",INDEX(Ayarlar!$B$4:$B$11,MATCH($B$44,Ayarlar!$A$4:$A$11,0)),INDEX('Deneme Girişi'!$D$5:$AI$54,7,(MATCH($B$44,Ayarlar!$A$4:$A$11,0)-1)*4+3))),"")</f>
        <v/>
      </c>
      <c r="E53" s="58">
        <f>'Deneme Girişi'!AO11</f>
        <v/>
      </c>
      <c r="F53" s="59">
        <f>'Deneme Girişi'!AU11</f>
        <v/>
      </c>
    </row>
    <row r="54">
      <c r="A54" s="56" t="n">
        <v>8</v>
      </c>
      <c r="B54" s="56">
        <f>IF('Deneme Girişi'!C12="","",'Deneme Girişi'!C12)</f>
        <v/>
      </c>
      <c r="C54" s="57">
        <f>IFERROR(INDEX('Deneme Girişi'!$D$5:$AI$54,8,(MATCH($B$44,Ayarlar!$A$4:$A$11,0)-1)*4+4),"")</f>
        <v/>
      </c>
      <c r="D54" s="58">
        <f>IFERROR(IF(C54="","",C54/IF(INDEX('Deneme Girişi'!$D$5:$AI$54,8,(MATCH($B$44,Ayarlar!$A$4:$A$11,0)-1)*4+3)="",INDEX(Ayarlar!$B$4:$B$11,MATCH($B$44,Ayarlar!$A$4:$A$11,0)),INDEX('Deneme Girişi'!$D$5:$AI$54,8,(MATCH($B$44,Ayarlar!$A$4:$A$11,0)-1)*4+3))),"")</f>
        <v/>
      </c>
      <c r="E54" s="58">
        <f>'Deneme Girişi'!AO12</f>
        <v/>
      </c>
      <c r="F54" s="59">
        <f>'Deneme Girişi'!AU12</f>
        <v/>
      </c>
    </row>
    <row r="55">
      <c r="A55" s="56" t="n">
        <v>9</v>
      </c>
      <c r="B55" s="56">
        <f>IF('Deneme Girişi'!C13="","",'Deneme Girişi'!C13)</f>
        <v/>
      </c>
      <c r="C55" s="57">
        <f>IFERROR(INDEX('Deneme Girişi'!$D$5:$AI$54,9,(MATCH($B$44,Ayarlar!$A$4:$A$11,0)-1)*4+4),"")</f>
        <v/>
      </c>
      <c r="D55" s="58">
        <f>IFERROR(IF(C55="","",C55/IF(INDEX('Deneme Girişi'!$D$5:$AI$54,9,(MATCH($B$44,Ayarlar!$A$4:$A$11,0)-1)*4+3)="",INDEX(Ayarlar!$B$4:$B$11,MATCH($B$44,Ayarlar!$A$4:$A$11,0)),INDEX('Deneme Girişi'!$D$5:$AI$54,9,(MATCH($B$44,Ayarlar!$A$4:$A$11,0)-1)*4+3))),"")</f>
        <v/>
      </c>
      <c r="E55" s="58">
        <f>'Deneme Girişi'!AO13</f>
        <v/>
      </c>
      <c r="F55" s="59">
        <f>'Deneme Girişi'!AU13</f>
        <v/>
      </c>
    </row>
    <row r="56">
      <c r="A56" s="56" t="n">
        <v>10</v>
      </c>
      <c r="B56" s="56">
        <f>IF('Deneme Girişi'!C14="","",'Deneme Girişi'!C14)</f>
        <v/>
      </c>
      <c r="C56" s="57">
        <f>IFERROR(INDEX('Deneme Girişi'!$D$5:$AI$54,10,(MATCH($B$44,Ayarlar!$A$4:$A$11,0)-1)*4+4),"")</f>
        <v/>
      </c>
      <c r="D56" s="58">
        <f>IFERROR(IF(C56="","",C56/IF(INDEX('Deneme Girişi'!$D$5:$AI$54,10,(MATCH($B$44,Ayarlar!$A$4:$A$11,0)-1)*4+3)="",INDEX(Ayarlar!$B$4:$B$11,MATCH($B$44,Ayarlar!$A$4:$A$11,0)),INDEX('Deneme Girişi'!$D$5:$AI$54,10,(MATCH($B$44,Ayarlar!$A$4:$A$11,0)-1)*4+3))),"")</f>
        <v/>
      </c>
      <c r="E56" s="58">
        <f>'Deneme Girişi'!AO14</f>
        <v/>
      </c>
      <c r="F56" s="59">
        <f>'Deneme Girişi'!AU14</f>
        <v/>
      </c>
    </row>
    <row r="57">
      <c r="A57" s="56" t="n">
        <v>11</v>
      </c>
      <c r="B57" s="56">
        <f>IF('Deneme Girişi'!C15="","",'Deneme Girişi'!C15)</f>
        <v/>
      </c>
      <c r="C57" s="57">
        <f>IFERROR(INDEX('Deneme Girişi'!$D$5:$AI$54,11,(MATCH($B$44,Ayarlar!$A$4:$A$11,0)-1)*4+4),"")</f>
        <v/>
      </c>
      <c r="D57" s="58">
        <f>IFERROR(IF(C57="","",C57/IF(INDEX('Deneme Girişi'!$D$5:$AI$54,11,(MATCH($B$44,Ayarlar!$A$4:$A$11,0)-1)*4+3)="",INDEX(Ayarlar!$B$4:$B$11,MATCH($B$44,Ayarlar!$A$4:$A$11,0)),INDEX('Deneme Girişi'!$D$5:$AI$54,11,(MATCH($B$44,Ayarlar!$A$4:$A$11,0)-1)*4+3))),"")</f>
        <v/>
      </c>
      <c r="E57" s="58">
        <f>'Deneme Girişi'!AO15</f>
        <v/>
      </c>
      <c r="F57" s="59">
        <f>'Deneme Girişi'!AU15</f>
        <v/>
      </c>
    </row>
    <row r="58">
      <c r="A58" s="56" t="n">
        <v>12</v>
      </c>
      <c r="B58" s="56">
        <f>IF('Deneme Girişi'!C16="","",'Deneme Girişi'!C16)</f>
        <v/>
      </c>
      <c r="C58" s="57">
        <f>IFERROR(INDEX('Deneme Girişi'!$D$5:$AI$54,12,(MATCH($B$44,Ayarlar!$A$4:$A$11,0)-1)*4+4),"")</f>
        <v/>
      </c>
      <c r="D58" s="58">
        <f>IFERROR(IF(C58="","",C58/IF(INDEX('Deneme Girişi'!$D$5:$AI$54,12,(MATCH($B$44,Ayarlar!$A$4:$A$11,0)-1)*4+3)="",INDEX(Ayarlar!$B$4:$B$11,MATCH($B$44,Ayarlar!$A$4:$A$11,0)),INDEX('Deneme Girişi'!$D$5:$AI$54,12,(MATCH($B$44,Ayarlar!$A$4:$A$11,0)-1)*4+3))),"")</f>
        <v/>
      </c>
      <c r="E58" s="58">
        <f>'Deneme Girişi'!AO16</f>
        <v/>
      </c>
      <c r="F58" s="59">
        <f>'Deneme Girişi'!AU16</f>
        <v/>
      </c>
    </row>
    <row r="59">
      <c r="A59" s="56" t="n">
        <v>13</v>
      </c>
      <c r="B59" s="56">
        <f>IF('Deneme Girişi'!C17="","",'Deneme Girişi'!C17)</f>
        <v/>
      </c>
      <c r="C59" s="57">
        <f>IFERROR(INDEX('Deneme Girişi'!$D$5:$AI$54,13,(MATCH($B$44,Ayarlar!$A$4:$A$11,0)-1)*4+4),"")</f>
        <v/>
      </c>
      <c r="D59" s="58">
        <f>IFERROR(IF(C59="","",C59/IF(INDEX('Deneme Girişi'!$D$5:$AI$54,13,(MATCH($B$44,Ayarlar!$A$4:$A$11,0)-1)*4+3)="",INDEX(Ayarlar!$B$4:$B$11,MATCH($B$44,Ayarlar!$A$4:$A$11,0)),INDEX('Deneme Girişi'!$D$5:$AI$54,13,(MATCH($B$44,Ayarlar!$A$4:$A$11,0)-1)*4+3))),"")</f>
        <v/>
      </c>
      <c r="E59" s="58">
        <f>'Deneme Girişi'!AO17</f>
        <v/>
      </c>
      <c r="F59" s="59">
        <f>'Deneme Girişi'!AU17</f>
        <v/>
      </c>
    </row>
    <row r="60">
      <c r="A60" s="56" t="n">
        <v>14</v>
      </c>
      <c r="B60" s="56">
        <f>IF('Deneme Girişi'!C18="","",'Deneme Girişi'!C18)</f>
        <v/>
      </c>
      <c r="C60" s="57">
        <f>IFERROR(INDEX('Deneme Girişi'!$D$5:$AI$54,14,(MATCH($B$44,Ayarlar!$A$4:$A$11,0)-1)*4+4),"")</f>
        <v/>
      </c>
      <c r="D60" s="58">
        <f>IFERROR(IF(C60="","",C60/IF(INDEX('Deneme Girişi'!$D$5:$AI$54,14,(MATCH($B$44,Ayarlar!$A$4:$A$11,0)-1)*4+3)="",INDEX(Ayarlar!$B$4:$B$11,MATCH($B$44,Ayarlar!$A$4:$A$11,0)),INDEX('Deneme Girişi'!$D$5:$AI$54,14,(MATCH($B$44,Ayarlar!$A$4:$A$11,0)-1)*4+3))),"")</f>
        <v/>
      </c>
      <c r="E60" s="58">
        <f>'Deneme Girişi'!AO18</f>
        <v/>
      </c>
      <c r="F60" s="59">
        <f>'Deneme Girişi'!AU18</f>
        <v/>
      </c>
    </row>
    <row r="61">
      <c r="A61" s="56" t="n">
        <v>15</v>
      </c>
      <c r="B61" s="56">
        <f>IF('Deneme Girişi'!C19="","",'Deneme Girişi'!C19)</f>
        <v/>
      </c>
      <c r="C61" s="57">
        <f>IFERROR(INDEX('Deneme Girişi'!$D$5:$AI$54,15,(MATCH($B$44,Ayarlar!$A$4:$A$11,0)-1)*4+4),"")</f>
        <v/>
      </c>
      <c r="D61" s="58">
        <f>IFERROR(IF(C61="","",C61/IF(INDEX('Deneme Girişi'!$D$5:$AI$54,15,(MATCH($B$44,Ayarlar!$A$4:$A$11,0)-1)*4+3)="",INDEX(Ayarlar!$B$4:$B$11,MATCH($B$44,Ayarlar!$A$4:$A$11,0)),INDEX('Deneme Girişi'!$D$5:$AI$54,15,(MATCH($B$44,Ayarlar!$A$4:$A$11,0)-1)*4+3))),"")</f>
        <v/>
      </c>
      <c r="E61" s="58">
        <f>'Deneme Girişi'!AO19</f>
        <v/>
      </c>
      <c r="F61" s="59">
        <f>'Deneme Girişi'!AU19</f>
        <v/>
      </c>
    </row>
    <row r="62">
      <c r="A62" s="56" t="n">
        <v>16</v>
      </c>
      <c r="B62" s="56">
        <f>IF('Deneme Girişi'!C20="","",'Deneme Girişi'!C20)</f>
        <v/>
      </c>
      <c r="C62" s="57">
        <f>IFERROR(INDEX('Deneme Girişi'!$D$5:$AI$54,16,(MATCH($B$44,Ayarlar!$A$4:$A$11,0)-1)*4+4),"")</f>
        <v/>
      </c>
      <c r="D62" s="58">
        <f>IFERROR(IF(C62="","",C62/IF(INDEX('Deneme Girişi'!$D$5:$AI$54,16,(MATCH($B$44,Ayarlar!$A$4:$A$11,0)-1)*4+3)="",INDEX(Ayarlar!$B$4:$B$11,MATCH($B$44,Ayarlar!$A$4:$A$11,0)),INDEX('Deneme Girişi'!$D$5:$AI$54,16,(MATCH($B$44,Ayarlar!$A$4:$A$11,0)-1)*4+3))),"")</f>
        <v/>
      </c>
      <c r="E62" s="58">
        <f>'Deneme Girişi'!AO20</f>
        <v/>
      </c>
      <c r="F62" s="59">
        <f>'Deneme Girişi'!AU20</f>
        <v/>
      </c>
    </row>
    <row r="63">
      <c r="A63" s="56" t="n">
        <v>17</v>
      </c>
      <c r="B63" s="56">
        <f>IF('Deneme Girişi'!C21="","",'Deneme Girişi'!C21)</f>
        <v/>
      </c>
      <c r="C63" s="57">
        <f>IFERROR(INDEX('Deneme Girişi'!$D$5:$AI$54,17,(MATCH($B$44,Ayarlar!$A$4:$A$11,0)-1)*4+4),"")</f>
        <v/>
      </c>
      <c r="D63" s="58">
        <f>IFERROR(IF(C63="","",C63/IF(INDEX('Deneme Girişi'!$D$5:$AI$54,17,(MATCH($B$44,Ayarlar!$A$4:$A$11,0)-1)*4+3)="",INDEX(Ayarlar!$B$4:$B$11,MATCH($B$44,Ayarlar!$A$4:$A$11,0)),INDEX('Deneme Girişi'!$D$5:$AI$54,17,(MATCH($B$44,Ayarlar!$A$4:$A$11,0)-1)*4+3))),"")</f>
        <v/>
      </c>
      <c r="E63" s="58">
        <f>'Deneme Girişi'!AO21</f>
        <v/>
      </c>
      <c r="F63" s="59">
        <f>'Deneme Girişi'!AU21</f>
        <v/>
      </c>
    </row>
    <row r="64">
      <c r="A64" s="56" t="n">
        <v>18</v>
      </c>
      <c r="B64" s="56">
        <f>IF('Deneme Girişi'!C22="","",'Deneme Girişi'!C22)</f>
        <v/>
      </c>
      <c r="C64" s="57">
        <f>IFERROR(INDEX('Deneme Girişi'!$D$5:$AI$54,18,(MATCH($B$44,Ayarlar!$A$4:$A$11,0)-1)*4+4),"")</f>
        <v/>
      </c>
      <c r="D64" s="58">
        <f>IFERROR(IF(C64="","",C64/IF(INDEX('Deneme Girişi'!$D$5:$AI$54,18,(MATCH($B$44,Ayarlar!$A$4:$A$11,0)-1)*4+3)="",INDEX(Ayarlar!$B$4:$B$11,MATCH($B$44,Ayarlar!$A$4:$A$11,0)),INDEX('Deneme Girişi'!$D$5:$AI$54,18,(MATCH($B$44,Ayarlar!$A$4:$A$11,0)-1)*4+3))),"")</f>
        <v/>
      </c>
      <c r="E64" s="58">
        <f>'Deneme Girişi'!AO22</f>
        <v/>
      </c>
      <c r="F64" s="59">
        <f>'Deneme Girişi'!AU22</f>
        <v/>
      </c>
    </row>
    <row r="65">
      <c r="A65" s="56" t="n">
        <v>19</v>
      </c>
      <c r="B65" s="56">
        <f>IF('Deneme Girişi'!C23="","",'Deneme Girişi'!C23)</f>
        <v/>
      </c>
      <c r="C65" s="57">
        <f>IFERROR(INDEX('Deneme Girişi'!$D$5:$AI$54,19,(MATCH($B$44,Ayarlar!$A$4:$A$11,0)-1)*4+4),"")</f>
        <v/>
      </c>
      <c r="D65" s="58">
        <f>IFERROR(IF(C65="","",C65/IF(INDEX('Deneme Girişi'!$D$5:$AI$54,19,(MATCH($B$44,Ayarlar!$A$4:$A$11,0)-1)*4+3)="",INDEX(Ayarlar!$B$4:$B$11,MATCH($B$44,Ayarlar!$A$4:$A$11,0)),INDEX('Deneme Girişi'!$D$5:$AI$54,19,(MATCH($B$44,Ayarlar!$A$4:$A$11,0)-1)*4+3))),"")</f>
        <v/>
      </c>
      <c r="E65" s="58">
        <f>'Deneme Girişi'!AO23</f>
        <v/>
      </c>
      <c r="F65" s="59">
        <f>'Deneme Girişi'!AU23</f>
        <v/>
      </c>
    </row>
    <row r="66">
      <c r="A66" s="56" t="n">
        <v>20</v>
      </c>
      <c r="B66" s="56">
        <f>IF('Deneme Girişi'!C24="","",'Deneme Girişi'!C24)</f>
        <v/>
      </c>
      <c r="C66" s="57">
        <f>IFERROR(INDEX('Deneme Girişi'!$D$5:$AI$54,20,(MATCH($B$44,Ayarlar!$A$4:$A$11,0)-1)*4+4),"")</f>
        <v/>
      </c>
      <c r="D66" s="58">
        <f>IFERROR(IF(C66="","",C66/IF(INDEX('Deneme Girişi'!$D$5:$AI$54,20,(MATCH($B$44,Ayarlar!$A$4:$A$11,0)-1)*4+3)="",INDEX(Ayarlar!$B$4:$B$11,MATCH($B$44,Ayarlar!$A$4:$A$11,0)),INDEX('Deneme Girişi'!$D$5:$AI$54,20,(MATCH($B$44,Ayarlar!$A$4:$A$11,0)-1)*4+3))),"")</f>
        <v/>
      </c>
      <c r="E66" s="58">
        <f>'Deneme Girişi'!AO24</f>
        <v/>
      </c>
      <c r="F66" s="59">
        <f>'Deneme Girişi'!AU24</f>
        <v/>
      </c>
    </row>
    <row r="67">
      <c r="A67" s="56" t="n">
        <v>21</v>
      </c>
      <c r="B67" s="56">
        <f>IF('Deneme Girişi'!C25="","",'Deneme Girişi'!C25)</f>
        <v/>
      </c>
      <c r="C67" s="57">
        <f>IFERROR(INDEX('Deneme Girişi'!$D$5:$AI$54,21,(MATCH($B$44,Ayarlar!$A$4:$A$11,0)-1)*4+4),"")</f>
        <v/>
      </c>
      <c r="D67" s="58">
        <f>IFERROR(IF(C67="","",C67/IF(INDEX('Deneme Girişi'!$D$5:$AI$54,21,(MATCH($B$44,Ayarlar!$A$4:$A$11,0)-1)*4+3)="",INDEX(Ayarlar!$B$4:$B$11,MATCH($B$44,Ayarlar!$A$4:$A$11,0)),INDEX('Deneme Girişi'!$D$5:$AI$54,21,(MATCH($B$44,Ayarlar!$A$4:$A$11,0)-1)*4+3))),"")</f>
        <v/>
      </c>
      <c r="E67" s="58">
        <f>'Deneme Girişi'!AO25</f>
        <v/>
      </c>
      <c r="F67" s="59">
        <f>'Deneme Girişi'!AU25</f>
        <v/>
      </c>
    </row>
    <row r="68">
      <c r="A68" s="56" t="n">
        <v>22</v>
      </c>
      <c r="B68" s="56">
        <f>IF('Deneme Girişi'!C26="","",'Deneme Girişi'!C26)</f>
        <v/>
      </c>
      <c r="C68" s="57">
        <f>IFERROR(INDEX('Deneme Girişi'!$D$5:$AI$54,22,(MATCH($B$44,Ayarlar!$A$4:$A$11,0)-1)*4+4),"")</f>
        <v/>
      </c>
      <c r="D68" s="58">
        <f>IFERROR(IF(C68="","",C68/IF(INDEX('Deneme Girişi'!$D$5:$AI$54,22,(MATCH($B$44,Ayarlar!$A$4:$A$11,0)-1)*4+3)="",INDEX(Ayarlar!$B$4:$B$11,MATCH($B$44,Ayarlar!$A$4:$A$11,0)),INDEX('Deneme Girişi'!$D$5:$AI$54,22,(MATCH($B$44,Ayarlar!$A$4:$A$11,0)-1)*4+3))),"")</f>
        <v/>
      </c>
      <c r="E68" s="58">
        <f>'Deneme Girişi'!AO26</f>
        <v/>
      </c>
      <c r="F68" s="59">
        <f>'Deneme Girişi'!AU26</f>
        <v/>
      </c>
    </row>
    <row r="69">
      <c r="A69" s="56" t="n">
        <v>23</v>
      </c>
      <c r="B69" s="56">
        <f>IF('Deneme Girişi'!C27="","",'Deneme Girişi'!C27)</f>
        <v/>
      </c>
      <c r="C69" s="57">
        <f>IFERROR(INDEX('Deneme Girişi'!$D$5:$AI$54,23,(MATCH($B$44,Ayarlar!$A$4:$A$11,0)-1)*4+4),"")</f>
        <v/>
      </c>
      <c r="D69" s="58">
        <f>IFERROR(IF(C69="","",C69/IF(INDEX('Deneme Girişi'!$D$5:$AI$54,23,(MATCH($B$44,Ayarlar!$A$4:$A$11,0)-1)*4+3)="",INDEX(Ayarlar!$B$4:$B$11,MATCH($B$44,Ayarlar!$A$4:$A$11,0)),INDEX('Deneme Girişi'!$D$5:$AI$54,23,(MATCH($B$44,Ayarlar!$A$4:$A$11,0)-1)*4+3))),"")</f>
        <v/>
      </c>
      <c r="E69" s="58">
        <f>'Deneme Girişi'!AO27</f>
        <v/>
      </c>
      <c r="F69" s="59">
        <f>'Deneme Girişi'!AU27</f>
        <v/>
      </c>
    </row>
    <row r="70">
      <c r="A70" s="56" t="n">
        <v>24</v>
      </c>
      <c r="B70" s="56">
        <f>IF('Deneme Girişi'!C28="","",'Deneme Girişi'!C28)</f>
        <v/>
      </c>
      <c r="C70" s="57">
        <f>IFERROR(INDEX('Deneme Girişi'!$D$5:$AI$54,24,(MATCH($B$44,Ayarlar!$A$4:$A$11,0)-1)*4+4),"")</f>
        <v/>
      </c>
      <c r="D70" s="58">
        <f>IFERROR(IF(C70="","",C70/IF(INDEX('Deneme Girişi'!$D$5:$AI$54,24,(MATCH($B$44,Ayarlar!$A$4:$A$11,0)-1)*4+3)="",INDEX(Ayarlar!$B$4:$B$11,MATCH($B$44,Ayarlar!$A$4:$A$11,0)),INDEX('Deneme Girişi'!$D$5:$AI$54,24,(MATCH($B$44,Ayarlar!$A$4:$A$11,0)-1)*4+3))),"")</f>
        <v/>
      </c>
      <c r="E70" s="58">
        <f>'Deneme Girişi'!AO28</f>
        <v/>
      </c>
      <c r="F70" s="59">
        <f>'Deneme Girişi'!AU28</f>
        <v/>
      </c>
    </row>
    <row r="71">
      <c r="A71" s="56" t="n">
        <v>25</v>
      </c>
      <c r="B71" s="56">
        <f>IF('Deneme Girişi'!C29="","",'Deneme Girişi'!C29)</f>
        <v/>
      </c>
      <c r="C71" s="57">
        <f>IFERROR(INDEX('Deneme Girişi'!$D$5:$AI$54,25,(MATCH($B$44,Ayarlar!$A$4:$A$11,0)-1)*4+4),"")</f>
        <v/>
      </c>
      <c r="D71" s="58">
        <f>IFERROR(IF(C71="","",C71/IF(INDEX('Deneme Girişi'!$D$5:$AI$54,25,(MATCH($B$44,Ayarlar!$A$4:$A$11,0)-1)*4+3)="",INDEX(Ayarlar!$B$4:$B$11,MATCH($B$44,Ayarlar!$A$4:$A$11,0)),INDEX('Deneme Girişi'!$D$5:$AI$54,25,(MATCH($B$44,Ayarlar!$A$4:$A$11,0)-1)*4+3))),"")</f>
        <v/>
      </c>
      <c r="E71" s="58">
        <f>'Deneme Girişi'!AO29</f>
        <v/>
      </c>
      <c r="F71" s="59">
        <f>'Deneme Girişi'!AU29</f>
        <v/>
      </c>
    </row>
    <row r="72">
      <c r="A72" s="56" t="n">
        <v>26</v>
      </c>
      <c r="B72" s="56">
        <f>IF('Deneme Girişi'!C30="","",'Deneme Girişi'!C30)</f>
        <v/>
      </c>
      <c r="C72" s="57">
        <f>IFERROR(INDEX('Deneme Girişi'!$D$5:$AI$54,26,(MATCH($B$44,Ayarlar!$A$4:$A$11,0)-1)*4+4),"")</f>
        <v/>
      </c>
      <c r="D72" s="58">
        <f>IFERROR(IF(C72="","",C72/IF(INDEX('Deneme Girişi'!$D$5:$AI$54,26,(MATCH($B$44,Ayarlar!$A$4:$A$11,0)-1)*4+3)="",INDEX(Ayarlar!$B$4:$B$11,MATCH($B$44,Ayarlar!$A$4:$A$11,0)),INDEX('Deneme Girişi'!$D$5:$AI$54,26,(MATCH($B$44,Ayarlar!$A$4:$A$11,0)-1)*4+3))),"")</f>
        <v/>
      </c>
      <c r="E72" s="58">
        <f>'Deneme Girişi'!AO30</f>
        <v/>
      </c>
      <c r="F72" s="59">
        <f>'Deneme Girişi'!AU30</f>
        <v/>
      </c>
    </row>
    <row r="73">
      <c r="A73" s="56" t="n">
        <v>27</v>
      </c>
      <c r="B73" s="56">
        <f>IF('Deneme Girişi'!C31="","",'Deneme Girişi'!C31)</f>
        <v/>
      </c>
      <c r="C73" s="57">
        <f>IFERROR(INDEX('Deneme Girişi'!$D$5:$AI$54,27,(MATCH($B$44,Ayarlar!$A$4:$A$11,0)-1)*4+4),"")</f>
        <v/>
      </c>
      <c r="D73" s="58">
        <f>IFERROR(IF(C73="","",C73/IF(INDEX('Deneme Girişi'!$D$5:$AI$54,27,(MATCH($B$44,Ayarlar!$A$4:$A$11,0)-1)*4+3)="",INDEX(Ayarlar!$B$4:$B$11,MATCH($B$44,Ayarlar!$A$4:$A$11,0)),INDEX('Deneme Girişi'!$D$5:$AI$54,27,(MATCH($B$44,Ayarlar!$A$4:$A$11,0)-1)*4+3))),"")</f>
        <v/>
      </c>
      <c r="E73" s="58">
        <f>'Deneme Girişi'!AO31</f>
        <v/>
      </c>
      <c r="F73" s="59">
        <f>'Deneme Girişi'!AU31</f>
        <v/>
      </c>
    </row>
    <row r="74">
      <c r="A74" s="56" t="n">
        <v>28</v>
      </c>
      <c r="B74" s="56">
        <f>IF('Deneme Girişi'!C32="","",'Deneme Girişi'!C32)</f>
        <v/>
      </c>
      <c r="C74" s="57">
        <f>IFERROR(INDEX('Deneme Girişi'!$D$5:$AI$54,28,(MATCH($B$44,Ayarlar!$A$4:$A$11,0)-1)*4+4),"")</f>
        <v/>
      </c>
      <c r="D74" s="58">
        <f>IFERROR(IF(C74="","",C74/IF(INDEX('Deneme Girişi'!$D$5:$AI$54,28,(MATCH($B$44,Ayarlar!$A$4:$A$11,0)-1)*4+3)="",INDEX(Ayarlar!$B$4:$B$11,MATCH($B$44,Ayarlar!$A$4:$A$11,0)),INDEX('Deneme Girişi'!$D$5:$AI$54,28,(MATCH($B$44,Ayarlar!$A$4:$A$11,0)-1)*4+3))),"")</f>
        <v/>
      </c>
      <c r="E74" s="58">
        <f>'Deneme Girişi'!AO32</f>
        <v/>
      </c>
      <c r="F74" s="59">
        <f>'Deneme Girişi'!AU32</f>
        <v/>
      </c>
    </row>
    <row r="75">
      <c r="A75" s="56" t="n">
        <v>29</v>
      </c>
      <c r="B75" s="56">
        <f>IF('Deneme Girişi'!C33="","",'Deneme Girişi'!C33)</f>
        <v/>
      </c>
      <c r="C75" s="57">
        <f>IFERROR(INDEX('Deneme Girişi'!$D$5:$AI$54,29,(MATCH($B$44,Ayarlar!$A$4:$A$11,0)-1)*4+4),"")</f>
        <v/>
      </c>
      <c r="D75" s="58">
        <f>IFERROR(IF(C75="","",C75/IF(INDEX('Deneme Girişi'!$D$5:$AI$54,29,(MATCH($B$44,Ayarlar!$A$4:$A$11,0)-1)*4+3)="",INDEX(Ayarlar!$B$4:$B$11,MATCH($B$44,Ayarlar!$A$4:$A$11,0)),INDEX('Deneme Girişi'!$D$5:$AI$54,29,(MATCH($B$44,Ayarlar!$A$4:$A$11,0)-1)*4+3))),"")</f>
        <v/>
      </c>
      <c r="E75" s="58">
        <f>'Deneme Girişi'!AO33</f>
        <v/>
      </c>
      <c r="F75" s="59">
        <f>'Deneme Girişi'!AU33</f>
        <v/>
      </c>
    </row>
    <row r="76">
      <c r="A76" s="56" t="n">
        <v>30</v>
      </c>
      <c r="B76" s="56">
        <f>IF('Deneme Girişi'!C34="","",'Deneme Girişi'!C34)</f>
        <v/>
      </c>
      <c r="C76" s="57">
        <f>IFERROR(INDEX('Deneme Girişi'!$D$5:$AI$54,30,(MATCH($B$44,Ayarlar!$A$4:$A$11,0)-1)*4+4),"")</f>
        <v/>
      </c>
      <c r="D76" s="58">
        <f>IFERROR(IF(C76="","",C76/IF(INDEX('Deneme Girişi'!$D$5:$AI$54,30,(MATCH($B$44,Ayarlar!$A$4:$A$11,0)-1)*4+3)="",INDEX(Ayarlar!$B$4:$B$11,MATCH($B$44,Ayarlar!$A$4:$A$11,0)),INDEX('Deneme Girişi'!$D$5:$AI$54,30,(MATCH($B$44,Ayarlar!$A$4:$A$11,0)-1)*4+3))),"")</f>
        <v/>
      </c>
      <c r="E76" s="58">
        <f>'Deneme Girişi'!AO34</f>
        <v/>
      </c>
      <c r="F76" s="59">
        <f>'Deneme Girişi'!AU34</f>
        <v/>
      </c>
    </row>
    <row r="77">
      <c r="A77" s="56" t="n">
        <v>31</v>
      </c>
      <c r="B77" s="56">
        <f>IF('Deneme Girişi'!C35="","",'Deneme Girişi'!C35)</f>
        <v/>
      </c>
      <c r="C77" s="57">
        <f>IFERROR(INDEX('Deneme Girişi'!$D$5:$AI$54,31,(MATCH($B$44,Ayarlar!$A$4:$A$11,0)-1)*4+4),"")</f>
        <v/>
      </c>
      <c r="D77" s="58">
        <f>IFERROR(IF(C77="","",C77/IF(INDEX('Deneme Girişi'!$D$5:$AI$54,31,(MATCH($B$44,Ayarlar!$A$4:$A$11,0)-1)*4+3)="",INDEX(Ayarlar!$B$4:$B$11,MATCH($B$44,Ayarlar!$A$4:$A$11,0)),INDEX('Deneme Girişi'!$D$5:$AI$54,31,(MATCH($B$44,Ayarlar!$A$4:$A$11,0)-1)*4+3))),"")</f>
        <v/>
      </c>
      <c r="E77" s="58">
        <f>'Deneme Girişi'!AO35</f>
        <v/>
      </c>
      <c r="F77" s="59">
        <f>'Deneme Girişi'!AU35</f>
        <v/>
      </c>
    </row>
    <row r="78">
      <c r="A78" s="56" t="n">
        <v>32</v>
      </c>
      <c r="B78" s="56">
        <f>IF('Deneme Girişi'!C36="","",'Deneme Girişi'!C36)</f>
        <v/>
      </c>
      <c r="C78" s="57">
        <f>IFERROR(INDEX('Deneme Girişi'!$D$5:$AI$54,32,(MATCH($B$44,Ayarlar!$A$4:$A$11,0)-1)*4+4),"")</f>
        <v/>
      </c>
      <c r="D78" s="58">
        <f>IFERROR(IF(C78="","",C78/IF(INDEX('Deneme Girişi'!$D$5:$AI$54,32,(MATCH($B$44,Ayarlar!$A$4:$A$11,0)-1)*4+3)="",INDEX(Ayarlar!$B$4:$B$11,MATCH($B$44,Ayarlar!$A$4:$A$11,0)),INDEX('Deneme Girişi'!$D$5:$AI$54,32,(MATCH($B$44,Ayarlar!$A$4:$A$11,0)-1)*4+3))),"")</f>
        <v/>
      </c>
      <c r="E78" s="58">
        <f>'Deneme Girişi'!AO36</f>
        <v/>
      </c>
      <c r="F78" s="59">
        <f>'Deneme Girişi'!AU36</f>
        <v/>
      </c>
    </row>
    <row r="79">
      <c r="A79" s="56" t="n">
        <v>33</v>
      </c>
      <c r="B79" s="56">
        <f>IF('Deneme Girişi'!C37="","",'Deneme Girişi'!C37)</f>
        <v/>
      </c>
      <c r="C79" s="57">
        <f>IFERROR(INDEX('Deneme Girişi'!$D$5:$AI$54,33,(MATCH($B$44,Ayarlar!$A$4:$A$11,0)-1)*4+4),"")</f>
        <v/>
      </c>
      <c r="D79" s="58">
        <f>IFERROR(IF(C79="","",C79/IF(INDEX('Deneme Girişi'!$D$5:$AI$54,33,(MATCH($B$44,Ayarlar!$A$4:$A$11,0)-1)*4+3)="",INDEX(Ayarlar!$B$4:$B$11,MATCH($B$44,Ayarlar!$A$4:$A$11,0)),INDEX('Deneme Girişi'!$D$5:$AI$54,33,(MATCH($B$44,Ayarlar!$A$4:$A$11,0)-1)*4+3))),"")</f>
        <v/>
      </c>
      <c r="E79" s="58">
        <f>'Deneme Girişi'!AO37</f>
        <v/>
      </c>
      <c r="F79" s="59">
        <f>'Deneme Girişi'!AU37</f>
        <v/>
      </c>
    </row>
    <row r="80">
      <c r="A80" s="56" t="n">
        <v>34</v>
      </c>
      <c r="B80" s="56">
        <f>IF('Deneme Girişi'!C38="","",'Deneme Girişi'!C38)</f>
        <v/>
      </c>
      <c r="C80" s="57">
        <f>IFERROR(INDEX('Deneme Girişi'!$D$5:$AI$54,34,(MATCH($B$44,Ayarlar!$A$4:$A$11,0)-1)*4+4),"")</f>
        <v/>
      </c>
      <c r="D80" s="58">
        <f>IFERROR(IF(C80="","",C80/IF(INDEX('Deneme Girişi'!$D$5:$AI$54,34,(MATCH($B$44,Ayarlar!$A$4:$A$11,0)-1)*4+3)="",INDEX(Ayarlar!$B$4:$B$11,MATCH($B$44,Ayarlar!$A$4:$A$11,0)),INDEX('Deneme Girişi'!$D$5:$AI$54,34,(MATCH($B$44,Ayarlar!$A$4:$A$11,0)-1)*4+3))),"")</f>
        <v/>
      </c>
      <c r="E80" s="58">
        <f>'Deneme Girişi'!AO38</f>
        <v/>
      </c>
      <c r="F80" s="59">
        <f>'Deneme Girişi'!AU38</f>
        <v/>
      </c>
    </row>
    <row r="81">
      <c r="A81" s="56" t="n">
        <v>35</v>
      </c>
      <c r="B81" s="56">
        <f>IF('Deneme Girişi'!C39="","",'Deneme Girişi'!C39)</f>
        <v/>
      </c>
      <c r="C81" s="57">
        <f>IFERROR(INDEX('Deneme Girişi'!$D$5:$AI$54,35,(MATCH($B$44,Ayarlar!$A$4:$A$11,0)-1)*4+4),"")</f>
        <v/>
      </c>
      <c r="D81" s="58">
        <f>IFERROR(IF(C81="","",C81/IF(INDEX('Deneme Girişi'!$D$5:$AI$54,35,(MATCH($B$44,Ayarlar!$A$4:$A$11,0)-1)*4+3)="",INDEX(Ayarlar!$B$4:$B$11,MATCH($B$44,Ayarlar!$A$4:$A$11,0)),INDEX('Deneme Girişi'!$D$5:$AI$54,35,(MATCH($B$44,Ayarlar!$A$4:$A$11,0)-1)*4+3))),"")</f>
        <v/>
      </c>
      <c r="E81" s="58">
        <f>'Deneme Girişi'!AO39</f>
        <v/>
      </c>
      <c r="F81" s="59">
        <f>'Deneme Girişi'!AU39</f>
        <v/>
      </c>
    </row>
    <row r="82">
      <c r="A82" s="56" t="n">
        <v>36</v>
      </c>
      <c r="B82" s="56">
        <f>IF('Deneme Girişi'!C40="","",'Deneme Girişi'!C40)</f>
        <v/>
      </c>
      <c r="C82" s="57">
        <f>IFERROR(INDEX('Deneme Girişi'!$D$5:$AI$54,36,(MATCH($B$44,Ayarlar!$A$4:$A$11,0)-1)*4+4),"")</f>
        <v/>
      </c>
      <c r="D82" s="58">
        <f>IFERROR(IF(C82="","",C82/IF(INDEX('Deneme Girişi'!$D$5:$AI$54,36,(MATCH($B$44,Ayarlar!$A$4:$A$11,0)-1)*4+3)="",INDEX(Ayarlar!$B$4:$B$11,MATCH($B$44,Ayarlar!$A$4:$A$11,0)),INDEX('Deneme Girişi'!$D$5:$AI$54,36,(MATCH($B$44,Ayarlar!$A$4:$A$11,0)-1)*4+3))),"")</f>
        <v/>
      </c>
      <c r="E82" s="58">
        <f>'Deneme Girişi'!AO40</f>
        <v/>
      </c>
      <c r="F82" s="59">
        <f>'Deneme Girişi'!AU40</f>
        <v/>
      </c>
    </row>
    <row r="83">
      <c r="A83" s="56" t="n">
        <v>37</v>
      </c>
      <c r="B83" s="56">
        <f>IF('Deneme Girişi'!C41="","",'Deneme Girişi'!C41)</f>
        <v/>
      </c>
      <c r="C83" s="57">
        <f>IFERROR(INDEX('Deneme Girişi'!$D$5:$AI$54,37,(MATCH($B$44,Ayarlar!$A$4:$A$11,0)-1)*4+4),"")</f>
        <v/>
      </c>
      <c r="D83" s="58">
        <f>IFERROR(IF(C83="","",C83/IF(INDEX('Deneme Girişi'!$D$5:$AI$54,37,(MATCH($B$44,Ayarlar!$A$4:$A$11,0)-1)*4+3)="",INDEX(Ayarlar!$B$4:$B$11,MATCH($B$44,Ayarlar!$A$4:$A$11,0)),INDEX('Deneme Girişi'!$D$5:$AI$54,37,(MATCH($B$44,Ayarlar!$A$4:$A$11,0)-1)*4+3))),"")</f>
        <v/>
      </c>
      <c r="E83" s="58">
        <f>'Deneme Girişi'!AO41</f>
        <v/>
      </c>
      <c r="F83" s="59">
        <f>'Deneme Girişi'!AU41</f>
        <v/>
      </c>
    </row>
    <row r="84">
      <c r="A84" s="56" t="n">
        <v>38</v>
      </c>
      <c r="B84" s="56">
        <f>IF('Deneme Girişi'!C42="","",'Deneme Girişi'!C42)</f>
        <v/>
      </c>
      <c r="C84" s="57">
        <f>IFERROR(INDEX('Deneme Girişi'!$D$5:$AI$54,38,(MATCH($B$44,Ayarlar!$A$4:$A$11,0)-1)*4+4),"")</f>
        <v/>
      </c>
      <c r="D84" s="58">
        <f>IFERROR(IF(C84="","",C84/IF(INDEX('Deneme Girişi'!$D$5:$AI$54,38,(MATCH($B$44,Ayarlar!$A$4:$A$11,0)-1)*4+3)="",INDEX(Ayarlar!$B$4:$B$11,MATCH($B$44,Ayarlar!$A$4:$A$11,0)),INDEX('Deneme Girişi'!$D$5:$AI$54,38,(MATCH($B$44,Ayarlar!$A$4:$A$11,0)-1)*4+3))),"")</f>
        <v/>
      </c>
      <c r="E84" s="58">
        <f>'Deneme Girişi'!AO42</f>
        <v/>
      </c>
      <c r="F84" s="59">
        <f>'Deneme Girişi'!AU42</f>
        <v/>
      </c>
    </row>
    <row r="85">
      <c r="A85" s="56" t="n">
        <v>39</v>
      </c>
      <c r="B85" s="56">
        <f>IF('Deneme Girişi'!C43="","",'Deneme Girişi'!C43)</f>
        <v/>
      </c>
      <c r="C85" s="57">
        <f>IFERROR(INDEX('Deneme Girişi'!$D$5:$AI$54,39,(MATCH($B$44,Ayarlar!$A$4:$A$11,0)-1)*4+4),"")</f>
        <v/>
      </c>
      <c r="D85" s="58">
        <f>IFERROR(IF(C85="","",C85/IF(INDEX('Deneme Girişi'!$D$5:$AI$54,39,(MATCH($B$44,Ayarlar!$A$4:$A$11,0)-1)*4+3)="",INDEX(Ayarlar!$B$4:$B$11,MATCH($B$44,Ayarlar!$A$4:$A$11,0)),INDEX('Deneme Girişi'!$D$5:$AI$54,39,(MATCH($B$44,Ayarlar!$A$4:$A$11,0)-1)*4+3))),"")</f>
        <v/>
      </c>
      <c r="E85" s="58">
        <f>'Deneme Girişi'!AO43</f>
        <v/>
      </c>
      <c r="F85" s="59">
        <f>'Deneme Girişi'!AU43</f>
        <v/>
      </c>
    </row>
    <row r="86">
      <c r="A86" s="56" t="n">
        <v>40</v>
      </c>
      <c r="B86" s="56">
        <f>IF('Deneme Girişi'!C44="","",'Deneme Girişi'!C44)</f>
        <v/>
      </c>
      <c r="C86" s="57">
        <f>IFERROR(INDEX('Deneme Girişi'!$D$5:$AI$54,40,(MATCH($B$44,Ayarlar!$A$4:$A$11,0)-1)*4+4),"")</f>
        <v/>
      </c>
      <c r="D86" s="58">
        <f>IFERROR(IF(C86="","",C86/IF(INDEX('Deneme Girişi'!$D$5:$AI$54,40,(MATCH($B$44,Ayarlar!$A$4:$A$11,0)-1)*4+3)="",INDEX(Ayarlar!$B$4:$B$11,MATCH($B$44,Ayarlar!$A$4:$A$11,0)),INDEX('Deneme Girişi'!$D$5:$AI$54,40,(MATCH($B$44,Ayarlar!$A$4:$A$11,0)-1)*4+3))),"")</f>
        <v/>
      </c>
      <c r="E86" s="58">
        <f>'Deneme Girişi'!AO44</f>
        <v/>
      </c>
      <c r="F86" s="59">
        <f>'Deneme Girişi'!AU44</f>
        <v/>
      </c>
    </row>
  </sheetData>
  <mergeCells count="1">
    <mergeCell ref="B44:D44"/>
  </mergeCells>
  <conditionalFormatting sqref="L8:L15">
    <cfRule type="dataBar" priority="1">
      <dataBar>
        <cfvo type="num" val="0"/>
        <cfvo type="num" val="1"/>
        <color rgb="0063BE7B"/>
      </dataBar>
    </cfRule>
  </conditionalFormatting>
  <conditionalFormatting sqref="M8:M15">
    <cfRule type="cellIs" priority="2" operator="equal" dxfId="7">
      <formula>"Güçlü"</formula>
    </cfRule>
    <cfRule type="cellIs" priority="3" operator="equal" dxfId="8">
      <formula>"Orta"</formula>
    </cfRule>
    <cfRule type="cellIs" priority="4" operator="equal" dxfId="9">
      <formula>"Geliştirilmeli"</formula>
    </cfRule>
  </conditionalFormatting>
  <conditionalFormatting sqref="K8:K15">
    <cfRule type="cellIs" priority="5" operator="equal" dxfId="10">
      <formula>0</formula>
    </cfRule>
  </conditionalFormatting>
  <conditionalFormatting sqref="B33:H40">
    <cfRule type="cellIs" priority="6" operator="greaterThan" dxfId="5">
      <formula>0</formula>
    </cfRule>
    <cfRule type="colorScale" priority="7">
      <colorScale>
        <cfvo type="num" val="0"/>
        <cfvo type="max"/>
        <color rgb="00FFFFFF"/>
        <color rgb="00F8696B"/>
      </colorScale>
    </cfRule>
  </conditionalFormatting>
  <dataValidations count="1">
    <dataValidation sqref="B44" showDropDown="0" showInputMessage="0" showErrorMessage="0" allowBlank="0" type="list">
      <formula1>Ayarlar!$A$4:$A$11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3" customWidth="1" min="4" max="4"/>
    <col width="30" customWidth="1" min="5" max="5"/>
    <col width="3" customWidth="1" min="6" max="6"/>
    <col width="12" customWidth="1" min="7" max="7"/>
    <col width="3" customWidth="1" min="8" max="8"/>
    <col width="13" customWidth="1" min="9" max="9"/>
  </cols>
  <sheetData>
    <row r="1">
      <c r="A1" s="1" t="inlineStr">
        <is>
          <t>Ayarlar</t>
        </is>
      </c>
    </row>
    <row r="2">
      <c r="A2" s="5" t="inlineStr">
        <is>
          <t>Sarı hücreleri değiştirebilirsin; diğer sayfalar otomatik güncellenir.</t>
        </is>
      </c>
    </row>
    <row r="3">
      <c r="A3" s="6" t="inlineStr">
        <is>
          <t>Ders</t>
        </is>
      </c>
      <c r="B3" s="6" t="inlineStr">
        <is>
          <t>Soru Sayısı</t>
        </is>
      </c>
      <c r="C3" s="6" t="inlineStr">
        <is>
          <t>Hedef Net</t>
        </is>
      </c>
      <c r="E3" s="6" t="inlineStr">
        <is>
          <t>Hata Nedenleri</t>
        </is>
      </c>
      <c r="G3" s="6" t="inlineStr">
        <is>
          <t>Evet/Hayır</t>
        </is>
      </c>
      <c r="I3" s="6" t="inlineStr">
        <is>
          <t>Soru Durumu</t>
        </is>
      </c>
    </row>
    <row r="4">
      <c r="A4" s="4" t="inlineStr">
        <is>
          <t>Türk Dili ve Edebiyatı</t>
        </is>
      </c>
      <c r="B4" s="4" t="n">
        <v>20</v>
      </c>
      <c r="C4" s="4" t="n">
        <v>15</v>
      </c>
      <c r="E4" s="4" t="inlineStr">
        <is>
          <t>Konuyu bilmiyorum</t>
        </is>
      </c>
      <c r="G4" s="60" t="inlineStr">
        <is>
          <t>Evet</t>
        </is>
      </c>
      <c r="I4" s="60" t="inlineStr">
        <is>
          <t>Yanlış</t>
        </is>
      </c>
    </row>
    <row r="5">
      <c r="A5" s="4" t="inlineStr">
        <is>
          <t>Matematik</t>
        </is>
      </c>
      <c r="B5" s="4" t="n">
        <v>20</v>
      </c>
      <c r="C5" s="4" t="n">
        <v>12</v>
      </c>
      <c r="E5" s="4" t="inlineStr">
        <is>
          <t>Kavram yanılgısı</t>
        </is>
      </c>
      <c r="G5" s="60" t="inlineStr">
        <is>
          <t>Hayır</t>
        </is>
      </c>
      <c r="I5" s="60" t="inlineStr">
        <is>
          <t>Boş</t>
        </is>
      </c>
    </row>
    <row r="6">
      <c r="A6" s="4" t="inlineStr">
        <is>
          <t>Fizik</t>
        </is>
      </c>
      <c r="B6" s="4" t="n">
        <v>10</v>
      </c>
      <c r="C6" s="4" t="n">
        <v>6</v>
      </c>
      <c r="E6" s="4" t="inlineStr">
        <is>
          <t>İşlem hatası</t>
        </is>
      </c>
    </row>
    <row r="7">
      <c r="A7" s="4" t="inlineStr">
        <is>
          <t>Kimya</t>
        </is>
      </c>
      <c r="B7" s="4" t="n">
        <v>10</v>
      </c>
      <c r="C7" s="4" t="n">
        <v>6</v>
      </c>
      <c r="E7" s="4" t="inlineStr">
        <is>
          <t>Dikkatsizlik / yanlış okuma</t>
        </is>
      </c>
    </row>
    <row r="8">
      <c r="A8" s="4" t="inlineStr">
        <is>
          <t>Biyoloji</t>
        </is>
      </c>
      <c r="B8" s="4" t="n">
        <v>10</v>
      </c>
      <c r="C8" s="4" t="n">
        <v>6</v>
      </c>
      <c r="E8" s="4" t="inlineStr">
        <is>
          <t>Süre yetmedi</t>
        </is>
      </c>
    </row>
    <row r="9">
      <c r="A9" s="4" t="inlineStr">
        <is>
          <t>Tarih</t>
        </is>
      </c>
      <c r="B9" s="4" t="n">
        <v>10</v>
      </c>
      <c r="C9" s="4" t="n">
        <v>7</v>
      </c>
      <c r="E9" s="4" t="inlineStr">
        <is>
          <t>Tahmin ettim</t>
        </is>
      </c>
    </row>
    <row r="10">
      <c r="A10" s="4" t="inlineStr">
        <is>
          <t>Coğrafya</t>
        </is>
      </c>
      <c r="B10" s="4" t="n">
        <v>10</v>
      </c>
      <c r="C10" s="4" t="n">
        <v>7</v>
      </c>
      <c r="E10" s="4" t="inlineStr">
        <is>
          <t>Diğer</t>
        </is>
      </c>
    </row>
    <row r="11">
      <c r="A11" s="4" t="inlineStr">
        <is>
          <t>Din Kültürü</t>
        </is>
      </c>
      <c r="B11" s="4" t="n">
        <v>10</v>
      </c>
      <c r="C11" s="4" t="n">
        <v>8</v>
      </c>
    </row>
    <row r="14">
      <c r="A14" s="61" t="inlineStr">
        <is>
          <t>Toplam soru</t>
        </is>
      </c>
      <c r="B14" s="61">
        <f>SUM(B4:B11)</f>
        <v/>
      </c>
    </row>
    <row r="16">
      <c r="A16" s="61" t="inlineStr">
        <is>
          <t>Kaç yanlış 1 doğruyu götürür?</t>
        </is>
      </c>
      <c r="B16" s="62" t="n">
        <v>4</v>
      </c>
    </row>
    <row r="17">
      <c r="A17" s="5" t="inlineStr">
        <is>
          <t>4 = TYT/YKS kuralı · 3 = LGS kuralı · 0 = yanlış doğruyu götürmez</t>
        </is>
      </c>
    </row>
    <row r="19">
      <c r="A19" s="28" t="inlineStr">
        <is>
          <t>Tahmini TYT Puanı Ayarları</t>
        </is>
      </c>
    </row>
    <row r="20">
      <c r="A20" s="6" t="inlineStr">
        <is>
          <t>Ders</t>
        </is>
      </c>
      <c r="B20" s="6" t="inlineStr">
        <is>
          <t>TYT'de hangi teste sayılsın?</t>
        </is>
      </c>
      <c r="E20" s="6" t="inlineStr">
        <is>
          <t>TYT Testi</t>
        </is>
      </c>
      <c r="F20" s="6" t="inlineStr">
        <is>
          <t>Soru</t>
        </is>
      </c>
      <c r="G20" s="6" t="inlineStr">
        <is>
          <t>Katsayı</t>
        </is>
      </c>
    </row>
    <row r="21">
      <c r="A21" s="63">
        <f>A4</f>
        <v/>
      </c>
      <c r="B21" s="4" t="inlineStr">
        <is>
          <t>Türkçe</t>
        </is>
      </c>
      <c r="E21" s="64" t="inlineStr">
        <is>
          <t>Türkçe</t>
        </is>
      </c>
      <c r="F21" s="4" t="n">
        <v>40</v>
      </c>
      <c r="G21" s="4" t="n">
        <v>3.3</v>
      </c>
    </row>
    <row r="22">
      <c r="A22" s="63">
        <f>A5</f>
        <v/>
      </c>
      <c r="B22" s="4" t="inlineStr">
        <is>
          <t>Matematik</t>
        </is>
      </c>
      <c r="E22" s="64" t="inlineStr">
        <is>
          <t>Sosyal</t>
        </is>
      </c>
      <c r="F22" s="4" t="n">
        <v>20</v>
      </c>
      <c r="G22" s="4" t="n">
        <v>3.4</v>
      </c>
    </row>
    <row r="23">
      <c r="A23" s="63">
        <f>A6</f>
        <v/>
      </c>
      <c r="B23" s="4" t="inlineStr">
        <is>
          <t>Fen</t>
        </is>
      </c>
      <c r="E23" s="64" t="inlineStr">
        <is>
          <t>Matematik</t>
        </is>
      </c>
      <c r="F23" s="4" t="n">
        <v>40</v>
      </c>
      <c r="G23" s="4" t="n">
        <v>3.3</v>
      </c>
    </row>
    <row r="24">
      <c r="A24" s="63">
        <f>A7</f>
        <v/>
      </c>
      <c r="B24" s="4" t="inlineStr">
        <is>
          <t>Fen</t>
        </is>
      </c>
      <c r="E24" s="64" t="inlineStr">
        <is>
          <t>Fen</t>
        </is>
      </c>
      <c r="F24" s="4" t="n">
        <v>20</v>
      </c>
      <c r="G24" s="4" t="n">
        <v>3.4</v>
      </c>
    </row>
    <row r="25">
      <c r="A25" s="63">
        <f>A8</f>
        <v/>
      </c>
      <c r="B25" s="4" t="inlineStr">
        <is>
          <t>Fen</t>
        </is>
      </c>
      <c r="E25" s="61" t="inlineStr">
        <is>
          <t>Taban puan</t>
        </is>
      </c>
      <c r="F25" s="62" t="n">
        <v>100</v>
      </c>
    </row>
    <row r="26">
      <c r="A26" s="63">
        <f>A9</f>
        <v/>
      </c>
      <c r="B26" s="4" t="inlineStr">
        <is>
          <t>Sosyal</t>
        </is>
      </c>
      <c r="E26" s="5" t="inlineStr">
        <is>
          <t>Katsayılar yaklaşıktır (dershanelerin TYT hesaplamalarında yaygın kullanılan değerler). ÖSYM puanı her yıl tüm adayların sonuçlarına göre hesaplar; gerçek puan farklı olabilir.</t>
        </is>
      </c>
    </row>
    <row r="27">
      <c r="A27" s="63">
        <f>A10</f>
        <v/>
      </c>
      <c r="B27" s="4" t="inlineStr">
        <is>
          <t>Sosyal</t>
        </is>
      </c>
    </row>
    <row r="28">
      <c r="A28" s="63">
        <f>A11</f>
        <v/>
      </c>
      <c r="B28" s="4" t="inlineStr">
        <is>
          <t>Sosyal</t>
        </is>
      </c>
    </row>
    <row r="30">
      <c r="A30" s="5" t="inlineStr">
        <is>
          <t>Bir dersi TYT hesabına katmak istemiyorsan hücreyi boş bırak.</t>
        </is>
      </c>
    </row>
  </sheetData>
  <dataValidations count="1">
    <dataValidation sqref="B21:B28" showDropDown="0" showInputMessage="0" showErrorMessage="0" allowBlank="1" type="list">
      <formula1>$E$21:$E$24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2026-10-18T19:37:46Z</dcterms:created>
  <dcterms:modified xsi:type="dcterms:W3CDTF">2026-10-18T19:37:47Z</dcterms:modified>
</cp:coreProperties>
</file>